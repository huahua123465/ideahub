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4860"/>
  </bookViews>
  <sheets>
    <sheet name="优先级总表" sheetId="1" r:id="rId1"/>
    <sheet name="运营总览" sheetId="2" r:id="rId2"/>
    <sheet name="系列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<sst xmlns="http://schemas.openxmlformats.org/spreadsheetml/2006/main" count="348" uniqueCount="199">
  <si>
    <t>长期账号系列选题优先级（70条）</t>
  </si>
  <si>
    <t>排序为长期运营战略顺序；综合分用于辅助判断。权重：流量入口30%｜涨粉25%｜账号认知20%｜系列延展15%｜商业衔接10%。</t>
  </si>
  <si>
    <t>长期运营顺序</t>
  </si>
  <si>
    <t>优先级等级</t>
  </si>
  <si>
    <t>系列</t>
  </si>
  <si>
    <t>具体问题</t>
  </si>
  <si>
    <t>标题</t>
  </si>
  <si>
    <t>流量入口</t>
  </si>
  <si>
    <t>涨粉潜力</t>
  </si>
  <si>
    <t>认知建立</t>
  </si>
  <si>
    <t>系列延展</t>
  </si>
  <si>
    <t>商业衔接</t>
  </si>
  <si>
    <t>综合分</t>
  </si>
  <si>
    <t>推荐用途</t>
  </si>
  <si>
    <t>阶段建议</t>
  </si>
  <si>
    <t>认知</t>
  </si>
  <si>
    <t>为什么分析别人的关系容易，分析自己的关系却容易失准？</t>
  </si>
  <si>
    <t>为什么别人的关系你一眼就能看懂，轮到自己却总有无数种解释？</t>
  </si>
  <si>
    <t>流量+涨粉核心</t>
  </si>
  <si>
    <t>吸引</t>
  </si>
  <si>
    <t>为什么理性标准和实际吸引经常不完全一致？</t>
  </si>
  <si>
    <t>为什么一个人越符合你的标准，你反而越可能没有感觉？</t>
  </si>
  <si>
    <t>为什么不确定性容易持续占据注意力？</t>
  </si>
  <si>
    <t>让人反复想起一个人的，究竟是喜欢，还是一直没有得到答案？</t>
  </si>
  <si>
    <t>互动</t>
  </si>
  <si>
    <t>为什么双方每一个行为单独看都合理，组合起来却可能出现坏结果？</t>
  </si>
  <si>
    <t>两个人都没有恶意，为什么仍然可以一起制造一段很累的关系？</t>
  </si>
  <si>
    <t>结构</t>
  </si>
  <si>
    <t>为什么当初的吸引特征后来可能成为冲突来源？</t>
  </si>
  <si>
    <t>你后来最受不了的地方，为什么有时正是最初喜欢他的理由？</t>
  </si>
  <si>
    <t>选择</t>
  </si>
  <si>
    <t>为什么知道不合适仍然可能选择留下？</t>
  </si>
  <si>
    <t>“我知道这段关系不适合”为什么离“我要离开”还有那么远？</t>
  </si>
  <si>
    <t>循环</t>
  </si>
  <si>
    <t>为什么人容易反复被某类特征吸引？</t>
  </si>
  <si>
    <t>我们一次次喜欢上的，到底是不同的人，还是某种熟悉的感觉？</t>
  </si>
  <si>
    <t>为什么告诉别人自己的判断标准，会改变后来收集到的信息？</t>
  </si>
  <si>
    <t>越会筛选人，越容易筛出“会考试”的人</t>
  </si>
  <si>
    <t>第一眼吸引和长期吸引依赖的是不是同一组东西？</t>
  </si>
  <si>
    <t>让你一眼喜欢上的东西，为什么可能恰好不是让你喜欢很多年的东西？</t>
  </si>
  <si>
    <t>为什么“解释很合理”不能直接等于判断可靠？</t>
  </si>
  <si>
    <t>最难判断的人，有时不是没有解释的人，而是什么都解释得通的人</t>
  </si>
  <si>
    <t>为什么安抚情绪不能替代解决产生情绪的问题？</t>
  </si>
  <si>
    <t>把一个人哄好了，和把一段关系修好了，为什么是两回事？</t>
  </si>
  <si>
    <t>为什么有些人需要一个完整解释，才允许自己结束关系？</t>
  </si>
  <si>
    <t>我们真正舍不得的，有时不是一个人，而是一个还没有被解释清楚的故事</t>
  </si>
  <si>
    <t>为什么对象不同，关系结果却可能高度相似？</t>
  </si>
  <si>
    <t>为什么换了不同的人，我们最后却可能走进越来越相似的关系？</t>
  </si>
  <si>
    <t>个体</t>
  </si>
  <si>
    <t>为什么有些人只有在“被需要”时，才更容易确认自己的价值？</t>
  </si>
  <si>
    <t>被需要和被爱很像，所以很多人一生都在把它们混在一起</t>
  </si>
  <si>
    <t>为什么真正靠近以后，原本强烈的吸引有时会迅速下降？</t>
  </si>
  <si>
    <t>我们有时真正迷恋的，是一个人，还是尚未被现实打破的想象？</t>
  </si>
  <si>
    <t>为什么越想解释清楚，冲突有时反而越升级？</t>
  </si>
  <si>
    <t>两个人越想证明自己说清楚了，为什么越可能听不见对方在说什么？</t>
  </si>
  <si>
    <t>为什么表达需要经常会被对方听成指责或要求？</t>
  </si>
  <si>
    <t>“我需要什么”和“你做得不够好”，为什么这么容易被听成同一句话？</t>
  </si>
  <si>
    <t>为什么稳定并不一定意味着发展？</t>
  </si>
  <si>
    <t>一段关系可以非常稳定，也可以非常稳定地停在原地</t>
  </si>
  <si>
    <t>第一印象如何影响之后的信息解释？</t>
  </si>
  <si>
    <t>我们第一次怎么看一个人，可能决定了以后会忽略他的什么</t>
  </si>
  <si>
    <t>为什么熟悉会降低我们重新认识对方的动力？</t>
  </si>
  <si>
    <t>两个人越熟，为什么反而越容易活在“我早就知道你是什么样”的错觉里？</t>
  </si>
  <si>
    <t>为什么过去投入会影响当前判断？</t>
  </si>
  <si>
    <t>我们是在选择这段关系的未来，还是在替过去的投入寻找意义？</t>
  </si>
  <si>
    <t>认知建立+复访</t>
  </si>
  <si>
    <t>为什么过去关系经验会改变对新关系信息的解释？</t>
  </si>
  <si>
    <t>上一段关系真正留下来的，可能不是回忆，而是你以后怎么看人的方式</t>
  </si>
  <si>
    <t>为什么我们嘴上描述的择偶标准，经常无法完全预测实际选择？</t>
  </si>
  <si>
    <t>我们说自己想要什么样的人，和真正会被什么样的人吸引，是两套判断吗？</t>
  </si>
  <si>
    <t>为什么获得难度会反过来影响价值判断？</t>
  </si>
  <si>
    <t>一个人越难得到，我们为什么越容易相信他值得得到？</t>
  </si>
  <si>
    <t>为什么没有明显矛盾的关系仍然可能逐渐失去活力？</t>
  </si>
  <si>
    <t>一段关系真正变淡，可能不是发生了什么，而是什么都不再发生</t>
  </si>
  <si>
    <t>为什么行为改变发生的时间点往往比变化本身更重要？</t>
  </si>
  <si>
    <t>一个人突然变了，真正值得研究的是变化之前发生了什么</t>
  </si>
  <si>
    <t>为什么靠近与退后会互相强化？</t>
  </si>
  <si>
    <t>一个人越追，一个人越退：到底是谁先把关系变成这样的？</t>
  </si>
  <si>
    <t>为什么继续等待其实同样属于一个决策？</t>
  </si>
  <si>
    <t>等待从来不是暂停决定，它只是把决定交给时间</t>
  </si>
  <si>
    <t>为什么模糊状态有时比明确坏结果更容易被接受？</t>
  </si>
  <si>
    <t>人为什么宁愿长期不确定，也不愿得到一个自己不想听的答案？</t>
  </si>
  <si>
    <t>为什么大量来自同一环境的信息可能制造一种虚假的确定感？</t>
  </si>
  <si>
    <t>最危险的“很了解一个人”，可能是你只看过他的一种样子</t>
  </si>
  <si>
    <t>为什么自发行为与回应要求后的行为，需要被赋予不同的信息权重？</t>
  </si>
  <si>
    <t>同一件事，是他自己想到的，还是知道你在意以后才做的，意义完全不同</t>
  </si>
  <si>
    <t>为什么一方越来越沉默，另一方常常会越来越激烈？</t>
  </si>
  <si>
    <t>沉默和追问，为什么经常会把彼此推向两个越来越极端的位置？</t>
  </si>
  <si>
    <t>为什么关系修复工作会逐渐集中在某一个人身上？</t>
  </si>
  <si>
    <t>当每次都是同一个人把关系拉回来，另一方会慢慢失去什么？</t>
  </si>
  <si>
    <t>为什么早期可以接受的不平衡，后来会变成矛盾？</t>
  </si>
  <si>
    <t>真正让人累的，往往不是一次不公平，而是不公平最后变成了默认</t>
  </si>
  <si>
    <t>为什么未完成的关系特别容易持续占据注意力？</t>
  </si>
  <si>
    <t>最难离开的关系，为什么有时候恰恰是从来没有真正开始或结束的关系？</t>
  </si>
  <si>
    <t>为什么过度防止重复过去，有时反而会复制过去？</t>
  </si>
  <si>
    <t>越害怕下一段关系变成上一段，为什么越可能一直活在上一段里面？</t>
  </si>
  <si>
    <t>为什么同一个人在不同时间出现，可能产生完全不同的吸引？</t>
  </si>
  <si>
    <t>人与人的吸引，会不会不仅取决于是谁，还取决于什么时候遇见？</t>
  </si>
  <si>
    <t>为什么一些并不突出的人，却能产生强烈而持续的吸引？</t>
  </si>
  <si>
    <t>有些人明明没有那么好，为什么偏偏很难被替代？</t>
  </si>
  <si>
    <t>为什么信息增加不一定提高判断准确度？</t>
  </si>
  <si>
    <t>知道一个人越来越多，为什么不一定意味着越来越了解他？</t>
  </si>
  <si>
    <t>为什么后来的重大事件会重新改变我们对过去的理解？</t>
  </si>
  <si>
    <t>为什么一个人后来做的一件事，会让你重新解释你们过去的很多事？</t>
  </si>
  <si>
    <t>为什么道歉并不一定能够真正结束一场矛盾？</t>
  </si>
  <si>
    <t>一句“我错了”为什么有时候结束了争吵，却没有结束问题？</t>
  </si>
  <si>
    <t>为什么不断索取确定答案，会逐渐改变互动本身？</t>
  </si>
  <si>
    <t>当一段关系开始不断需要被证明，它还是原来的关系吗？</t>
  </si>
  <si>
    <t>为什么确定性增加以后，人容易减少主动观察和投入？</t>
  </si>
  <si>
    <t>我们越确定一个人不会离开，为什么越容易停止重新看见他？</t>
  </si>
  <si>
    <t>为什么关系决策容易忽略机会成本？</t>
  </si>
  <si>
    <t>一段关系真正占用的，不只是时间，还有那些因此没有发生的人生</t>
  </si>
  <si>
    <t>为什么追求“一次选对”反而容易造成决策拖延？</t>
  </si>
  <si>
    <t>越想做出一个永远不会后悔的选择，为什么越容易什么都不选？</t>
  </si>
  <si>
    <t>为什么进入关系以后，人容易逐渐承担一个固定角色？</t>
  </si>
  <si>
    <t>为什么有些人无论和谁在一起，最后都会慢慢变成关系里的同一种人？</t>
  </si>
  <si>
    <t>体系深化</t>
  </si>
  <si>
    <t>为什么“害怕失去什么”有时比“想得到什么”更能解释一个人的关系行为？</t>
  </si>
  <si>
    <t>理解一个人，有时候要先看他最怕失去什么</t>
  </si>
  <si>
    <t>为什么面对同样的不确定，有人觉得刺激，有人首先感到危险？</t>
  </si>
  <si>
    <t>同样是不确定，为什么有人感到吸引，有人感到威胁？</t>
  </si>
  <si>
    <t>一个人长期缺少的东西，会怎样改变他对关系价值的判断？</t>
  </si>
  <si>
    <t>我们越缺少的东西，为什么越容易被我们赋予过高的意义？</t>
  </si>
  <si>
    <t>为什么“被理解”的体验容易迅速放大关系重要性？</t>
  </si>
  <si>
    <t>一个人真正让你上心，可能是从“他好像真的懂我”开始的</t>
  </si>
  <si>
    <t>为什么强烈吸引不能直接推导出长期适配？</t>
  </si>
  <si>
    <t>有感觉和适合，为什么经常发生在关系的两个不同阶段？</t>
  </si>
  <si>
    <t>为什么我们选择一个人，有时也在选择自己想成为怎样的人？</t>
  </si>
  <si>
    <t>我们选择伴侣的时候，会不会也在选择一种想成为的人生？</t>
  </si>
  <si>
    <t>为什么表面完全不同的关系可能拥有相似的内部结构？</t>
  </si>
  <si>
    <t>两段看起来完全不同的关系，为什么最后会让你产生一模一样的感觉？</t>
  </si>
  <si>
    <t>为什么人识别出自己的模式以后仍然可能继续重复？</t>
  </si>
  <si>
    <t>“我已经知道自己为什么总这样了”，为什么还是不一定能改变？</t>
  </si>
  <si>
    <t>为什么改变关系模式不能只依靠选择一个完全不同的人？</t>
  </si>
  <si>
    <t>真正走出一种关系模式，可能不是终于遇见了不同的人，而是自己不再用原来的方式进入关系</t>
  </si>
  <si>
    <t>为什么两个人都在保护自己，却可能共同降低关系中的安全感？</t>
  </si>
  <si>
    <t>很多关系变得不安全，并不是因为没人保护自己，而是两个人都只剩下保护自己</t>
  </si>
  <si>
    <t>为什么关系中最难改变的是双方已经不再察觉的规则？</t>
  </si>
  <si>
    <t>真正固定一段关系的，往往不是承诺，而是那些双方都不再觉得需要解释的东西</t>
  </si>
  <si>
    <t>为什么强烈情绪会改变我们对长期关系的评价？</t>
  </si>
  <si>
    <t>人在最想离开的时候做出的决定，和最舍不得的时候一样，都可能只看见了一部分现实</t>
  </si>
  <si>
    <t>为什么小范围行动有时比继续分析更有决策价值？</t>
  </si>
  <si>
    <t>关系里有些答案不是想出来的，而是只有关系发生变化以后才会出现</t>
  </si>
  <si>
    <t>为什么分开以后记忆会重新组织一段关系？</t>
  </si>
  <si>
    <t>关系结束以后，我们怀念的是过去，还是后来重新写出来的过去？</t>
  </si>
  <si>
    <t>为什么人会在不同关系里重复承担类似角色？</t>
  </si>
  <si>
    <t>换了很多人以后，为什么自己在关系里的位置却一直没怎么变？</t>
  </si>
  <si>
    <t>为什么越依赖关系证明自我价值，关系中的行为越容易变形？</t>
  </si>
  <si>
    <t>当一段关系开始承担“证明我值得被爱”的任务，它就已经不只是关系了</t>
  </si>
  <si>
    <t>为什么同一种关系问题，有人可以忍很多次，有人一次就会退出？</t>
  </si>
  <si>
    <t>一个人的底线，很多时候不是写出来的，而是他的价值排序暴露出来的</t>
  </si>
  <si>
    <t>临时的责任如何逐渐变成默认责任？</t>
  </si>
  <si>
    <t>一段关系里的责任，很多时候不是分配出来的，而是慢慢没人再问为什么</t>
  </si>
  <si>
    <t>为什么强势和弱势可能是关系制造出来的位置？</t>
  </si>
  <si>
    <t>关系里的强者和弱者，可能不是两种人，而是两个被反复固定的位置</t>
  </si>
  <si>
    <t>为什么一次退让会改变以后互动的起点？</t>
  </si>
  <si>
    <t>关系里的很多“理所当然”，最开始可能只是一方偶尔让了一次</t>
  </si>
  <si>
    <t>为什么人会被一个人的“可能性”吸引，而不只是被现实中的他吸引？</t>
  </si>
  <si>
    <t>我们会不会爱上一个人还没成为的样子？</t>
  </si>
  <si>
    <t>为什么同样一件关系事件，对不同人的意义可以完全不同？</t>
  </si>
  <si>
    <t>真正影响我们的，往往不只是发生了什么，还有我们把它理解成了什么</t>
  </si>
  <si>
    <t>为什么单次行为很容易被错误地升级成人格判断？</t>
  </si>
  <si>
    <t>我们为什么总喜欢用一件事，迅速决定一个人“就是这样的人”？</t>
  </si>
  <si>
    <t>为什么真正困难的选择一定包含损失？</t>
  </si>
  <si>
    <t>成熟的选择，可能不是找到最好的答案，而是接受没有任何答案能让你什么都不失去</t>
  </si>
  <si>
    <t>长期账号运营总览</t>
  </si>
  <si>
    <t>评分维度</t>
  </si>
  <si>
    <t>权重</t>
  </si>
  <si>
    <t>选题数</t>
  </si>
  <si>
    <t>平均综合分</t>
  </si>
  <si>
    <t>A类数量</t>
  </si>
  <si>
    <t>B类数量</t>
  </si>
  <si>
    <t>C类数量</t>
  </si>
  <si>
    <t>30%</t>
  </si>
  <si>
    <t>25%</t>
  </si>
  <si>
    <t>账号认知建立</t>
  </si>
  <si>
    <t>20%</t>
  </si>
  <si>
    <t>系列延展/复访</t>
  </si>
  <si>
    <t>15%</t>
  </si>
  <si>
    <t>10%</t>
  </si>
  <si>
    <t>使用说明：优先级不是“内容质量绝对排名”，而是长期账号启动顺序。前20条优先承担流量与涨粉；21–45条用于建立稳定认知和复访；46–70条用于体系深化。实际发布时应跨系列穿插，避免连续输出同类认知结构。</t>
  </si>
  <si>
    <t>七大长期内容系列</t>
  </si>
  <si>
    <t>顺序</t>
  </si>
  <si>
    <t>母问题</t>
  </si>
  <si>
    <t>在整体体系中的位置</t>
  </si>
  <si>
    <t>我们究竟带着什么进入一段关系？</t>
  </si>
  <si>
    <t>需求、经验、价值排序与自我认知构成关系的初始条件</t>
  </si>
  <si>
    <t>为什么偏偏是这个人进入我们的注意力？</t>
  </si>
  <si>
    <t>个体条件与外界对象相遇后产生吸引与特殊价值</t>
  </si>
  <si>
    <t>我们看到的究竟是这个人，还是我们形成的这个人？</t>
  </si>
  <si>
    <t>吸引后开始解释、判断，并产生认知偏差</t>
  </si>
  <si>
    <t>两个人如何一步一步改变彼此？</t>
  </si>
  <si>
    <t>判断影响行为，行为引发反馈，形成动态互动</t>
  </si>
  <si>
    <t>互动为什么最终会变成一种固定的关系？</t>
  </si>
  <si>
    <t>重复互动沉淀成角色、责任、权力与默认规则</t>
  </si>
  <si>
    <t>当关系存在不确定性时，人怎样做决定？</t>
  </si>
  <si>
    <t>在既有结构中做继续、改变、等待或退出选择</t>
  </si>
  <si>
    <t>为什么换了一个人，却又可能走进相似的关系？</t>
  </si>
  <si>
    <t>上一段关系形成的经验再次塑造下一轮个体、吸引与判断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</si>
</sst>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sz val="10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center"/>
    </xf>
    <xf numFmtId="0" fontId="0" fillId="4" borderId="0" xfId="49" applyNumberFormat="1" applyFont="1" applyFill="1" applyBorder="1" applyAlignment="1">
      <alignment vertical="center" wrapText="1"/>
    </xf>
    <xf numFmtId="0" fontId="3" fillId="5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各系列平均综合分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"选题数"</c:f>
              <c:strCache>
                <c:ptCount val="1"/>
                <c:pt idx="0">
                  <c:v>选题数</c:v>
                </c:pt>
              </c:strCache>
            </c:strRef>
          </c:tx>
          <c:invertIfNegative val="0"/>
          <c:dLbls>
            <c:delete val="1"/>
          </c:dLbls>
          <c:cat>
            <c:strRef>
              <c:f>运营总览!$D$4:$D$10</c:f>
              <c:strCache>
                <c:ptCount val="7"/>
                <c:pt idx="0">
                  <c:v>个体</c:v>
                </c:pt>
                <c:pt idx="1">
                  <c:v>吸引</c:v>
                </c:pt>
                <c:pt idx="2">
                  <c:v>认知</c:v>
                </c:pt>
                <c:pt idx="3">
                  <c:v>互动</c:v>
                </c:pt>
                <c:pt idx="4">
                  <c:v>结构</c:v>
                </c:pt>
                <c:pt idx="5">
                  <c:v>选择</c:v>
                </c:pt>
                <c:pt idx="6">
                  <c:v>循环</c:v>
                </c:pt>
              </c:strCache>
            </c:strRef>
          </c:cat>
          <c:val>
            <c:numRef>
              <c:f>运营总览!$E$4:$E$10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</c:ser>
        <c:ser>
          <c:idx val="1"/>
          <c:order val="1"/>
          <c:tx>
            <c:strRef>
              <c:f>"平均综合分"</c:f>
              <c:strCache>
                <c:ptCount val="1"/>
                <c:pt idx="0">
                  <c:v>平均综合分</c:v>
                </c:pt>
              </c:strCache>
            </c:strRef>
          </c:tx>
          <c:invertIfNegative val="0"/>
          <c:dLbls>
            <c:delete val="1"/>
          </c:dLbls>
          <c:cat>
            <c:strRef>
              <c:f>运营总览!$D$4:$D$10</c:f>
              <c:strCache>
                <c:ptCount val="7"/>
                <c:pt idx="0">
                  <c:v>个体</c:v>
                </c:pt>
                <c:pt idx="1">
                  <c:v>吸引</c:v>
                </c:pt>
                <c:pt idx="2">
                  <c:v>认知</c:v>
                </c:pt>
                <c:pt idx="3">
                  <c:v>互动</c:v>
                </c:pt>
                <c:pt idx="4">
                  <c:v>结构</c:v>
                </c:pt>
                <c:pt idx="5">
                  <c:v>选择</c:v>
                </c:pt>
                <c:pt idx="6">
                  <c:v>循环</c:v>
                </c:pt>
              </c:strCache>
            </c:strRef>
          </c:cat>
          <c:val>
            <c:numRef>
              <c:f>运营总览!$F$4:$F$10</c:f>
              <c:numCache>
                <c:formatCode>General</c:formatCode>
                <c:ptCount val="7"/>
                <c:pt idx="0">
                  <c:v>88.3</c:v>
                </c:pt>
                <c:pt idx="1">
                  <c:v>92.9</c:v>
                </c:pt>
                <c:pt idx="2">
                  <c:v>96.7</c:v>
                </c:pt>
                <c:pt idx="3">
                  <c:v>99.1</c:v>
                </c:pt>
                <c:pt idx="4">
                  <c:v>97.4</c:v>
                </c:pt>
                <c:pt idx="5">
                  <c:v>97.8</c:v>
                </c:pt>
                <c:pt idx="6">
                  <c:v>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be5910d-e80f-4eb0-a961-c87ad4f3476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10708640" y="594360"/>
        <a:ext cx="6217920" cy="343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opicPriorityTable" displayName="TopicPriorityTable" ref="A4:M74" totalsRowShown="0">
  <tableColumns count="13">
    <tableColumn id="1" name="长期运营顺序"/>
    <tableColumn id="2" name="优先级等级"/>
    <tableColumn id="3" name="系列"/>
    <tableColumn id="4" name="具体问题"/>
    <tableColumn id="5" name="标题"/>
    <tableColumn id="6" name="流量入口"/>
    <tableColumn id="7" name="涨粉潜力"/>
    <tableColumn id="8" name="认知建立"/>
    <tableColumn id="9" name="系列延展"/>
    <tableColumn id="10" name="商业衔接"/>
    <tableColumn id="11" name="综合分"/>
    <tableColumn id="12" name="推荐用途"/>
    <tableColumn id="13" name="阶段建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tabSelected="1" topLeftCell="A54" workbookViewId="0">
      <selection activeCell="A1" sqref="A1:M1"/>
    </sheetView>
  </sheetViews>
  <sheetFormatPr defaultColWidth="9" defaultRowHeight="16.8"/>
  <cols>
    <col min="1" max="1" width="10" customWidth="1"/>
    <col min="2" max="2" width="14" customWidth="1"/>
    <col min="3" max="3" width="10" customWidth="1"/>
    <col min="4" max="4" width="38" customWidth="1"/>
    <col min="5" max="5" width="44" customWidth="1"/>
    <col min="6" max="11" width="10" customWidth="1"/>
    <col min="12" max="13" width="16" customWidth="1"/>
  </cols>
  <sheetData>
    <row r="1" ht="30" customHeight="1" spans="1:1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34" customHeight="1" spans="1:1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ht="28" customHeight="1" spans="1:13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</row>
    <row r="5" ht="46" customHeight="1" spans="1:13">
      <c r="A5" s="9">
        <v>1</v>
      </c>
      <c r="B5" s="9" t="str">
        <f t="shared" ref="B5:B68" si="0">IF(A5&lt;=20,"A｜前期核心",IF(A5&lt;=45,"B｜中段建设","C｜体系深化"))</f>
        <v>A｜前期核心</v>
      </c>
      <c r="C5" s="9" t="s">
        <v>15</v>
      </c>
      <c r="D5" s="10" t="s">
        <v>16</v>
      </c>
      <c r="E5" s="10" t="s">
        <v>17</v>
      </c>
      <c r="F5" s="9">
        <v>5</v>
      </c>
      <c r="G5" s="9">
        <v>5</v>
      </c>
      <c r="H5" s="9">
        <v>5</v>
      </c>
      <c r="I5" s="9">
        <v>5</v>
      </c>
      <c r="J5" s="9">
        <v>4</v>
      </c>
      <c r="K5" s="9">
        <f t="shared" ref="K5:K68" si="1">F5*6+G5*5+H5*4+I5*3+J5*2</f>
        <v>98</v>
      </c>
      <c r="L5" s="9" t="s">
        <v>18</v>
      </c>
      <c r="M5" s="9" t="str">
        <f t="shared" ref="M5:M68" si="2">IF(A5&lt;=20,"前期高频测试",IF(A5&lt;=45,"前中期穿插","中后期逐步增加"))</f>
        <v>前期高频测试</v>
      </c>
    </row>
    <row r="6" ht="46" customHeight="1" spans="1:13">
      <c r="A6" s="9">
        <v>2</v>
      </c>
      <c r="B6" s="9" t="str">
        <f t="shared" si="0"/>
        <v>A｜前期核心</v>
      </c>
      <c r="C6" s="9" t="s">
        <v>19</v>
      </c>
      <c r="D6" s="10" t="s">
        <v>20</v>
      </c>
      <c r="E6" s="10" t="s">
        <v>21</v>
      </c>
      <c r="F6" s="9">
        <v>5</v>
      </c>
      <c r="G6" s="9">
        <v>5</v>
      </c>
      <c r="H6" s="9">
        <v>4</v>
      </c>
      <c r="I6" s="9">
        <v>4</v>
      </c>
      <c r="J6" s="9">
        <v>3</v>
      </c>
      <c r="K6" s="9">
        <f t="shared" si="1"/>
        <v>89</v>
      </c>
      <c r="L6" s="9" t="s">
        <v>18</v>
      </c>
      <c r="M6" s="9" t="str">
        <f t="shared" si="2"/>
        <v>前期高频测试</v>
      </c>
    </row>
    <row r="7" ht="46" customHeight="1" spans="1:13">
      <c r="A7" s="9">
        <v>3</v>
      </c>
      <c r="B7" s="9" t="str">
        <f t="shared" si="0"/>
        <v>A｜前期核心</v>
      </c>
      <c r="C7" s="9" t="s">
        <v>19</v>
      </c>
      <c r="D7" s="10" t="s">
        <v>22</v>
      </c>
      <c r="E7" s="10" t="s">
        <v>23</v>
      </c>
      <c r="F7" s="9">
        <v>5</v>
      </c>
      <c r="G7" s="9">
        <v>5</v>
      </c>
      <c r="H7" s="9">
        <v>5</v>
      </c>
      <c r="I7" s="9">
        <v>5</v>
      </c>
      <c r="J7" s="9">
        <v>4</v>
      </c>
      <c r="K7" s="9">
        <f t="shared" si="1"/>
        <v>98</v>
      </c>
      <c r="L7" s="9" t="s">
        <v>18</v>
      </c>
      <c r="M7" s="9" t="str">
        <f t="shared" si="2"/>
        <v>前期高频测试</v>
      </c>
    </row>
    <row r="8" ht="46" customHeight="1" spans="1:13">
      <c r="A8" s="9">
        <v>4</v>
      </c>
      <c r="B8" s="9" t="str">
        <f t="shared" si="0"/>
        <v>A｜前期核心</v>
      </c>
      <c r="C8" s="9" t="s">
        <v>24</v>
      </c>
      <c r="D8" s="10" t="s">
        <v>25</v>
      </c>
      <c r="E8" s="10" t="s">
        <v>26</v>
      </c>
      <c r="F8" s="9">
        <v>5</v>
      </c>
      <c r="G8" s="9">
        <v>5</v>
      </c>
      <c r="H8" s="9">
        <v>5</v>
      </c>
      <c r="I8" s="9">
        <v>5</v>
      </c>
      <c r="J8" s="9">
        <v>4</v>
      </c>
      <c r="K8" s="9">
        <f t="shared" si="1"/>
        <v>98</v>
      </c>
      <c r="L8" s="9" t="s">
        <v>18</v>
      </c>
      <c r="M8" s="9" t="str">
        <f t="shared" si="2"/>
        <v>前期高频测试</v>
      </c>
    </row>
    <row r="9" ht="46" customHeight="1" spans="1:13">
      <c r="A9" s="9">
        <v>5</v>
      </c>
      <c r="B9" s="9" t="str">
        <f t="shared" si="0"/>
        <v>A｜前期核心</v>
      </c>
      <c r="C9" s="9" t="s">
        <v>27</v>
      </c>
      <c r="D9" s="10" t="s">
        <v>28</v>
      </c>
      <c r="E9" s="10" t="s">
        <v>29</v>
      </c>
      <c r="F9" s="9">
        <v>5</v>
      </c>
      <c r="G9" s="9">
        <v>5</v>
      </c>
      <c r="H9" s="9">
        <v>5</v>
      </c>
      <c r="I9" s="9">
        <v>5</v>
      </c>
      <c r="J9" s="9">
        <v>4</v>
      </c>
      <c r="K9" s="9">
        <f t="shared" si="1"/>
        <v>98</v>
      </c>
      <c r="L9" s="9" t="s">
        <v>18</v>
      </c>
      <c r="M9" s="9" t="str">
        <f t="shared" si="2"/>
        <v>前期高频测试</v>
      </c>
    </row>
    <row r="10" ht="46" customHeight="1" spans="1:13">
      <c r="A10" s="9">
        <v>6</v>
      </c>
      <c r="B10" s="9" t="str">
        <f t="shared" si="0"/>
        <v>A｜前期核心</v>
      </c>
      <c r="C10" s="9" t="s">
        <v>30</v>
      </c>
      <c r="D10" s="10" t="s">
        <v>31</v>
      </c>
      <c r="E10" s="10" t="s">
        <v>32</v>
      </c>
      <c r="F10" s="9">
        <v>5</v>
      </c>
      <c r="G10" s="9">
        <v>5</v>
      </c>
      <c r="H10" s="9">
        <v>5</v>
      </c>
      <c r="I10" s="9">
        <v>5</v>
      </c>
      <c r="J10" s="9">
        <v>5</v>
      </c>
      <c r="K10" s="9">
        <f t="shared" si="1"/>
        <v>100</v>
      </c>
      <c r="L10" s="9" t="s">
        <v>18</v>
      </c>
      <c r="M10" s="9" t="str">
        <f t="shared" si="2"/>
        <v>前期高频测试</v>
      </c>
    </row>
    <row r="11" ht="46" customHeight="1" spans="1:13">
      <c r="A11" s="9">
        <v>7</v>
      </c>
      <c r="B11" s="9" t="str">
        <f t="shared" si="0"/>
        <v>A｜前期核心</v>
      </c>
      <c r="C11" s="9" t="s">
        <v>33</v>
      </c>
      <c r="D11" s="10" t="s">
        <v>34</v>
      </c>
      <c r="E11" s="10" t="s">
        <v>35</v>
      </c>
      <c r="F11" s="9">
        <v>5</v>
      </c>
      <c r="G11" s="9">
        <v>5</v>
      </c>
      <c r="H11" s="9">
        <v>5</v>
      </c>
      <c r="I11" s="9">
        <v>5</v>
      </c>
      <c r="J11" s="9">
        <v>4</v>
      </c>
      <c r="K11" s="9">
        <f t="shared" si="1"/>
        <v>98</v>
      </c>
      <c r="L11" s="9" t="s">
        <v>18</v>
      </c>
      <c r="M11" s="9" t="str">
        <f t="shared" si="2"/>
        <v>前期高频测试</v>
      </c>
    </row>
    <row r="12" ht="46" customHeight="1" spans="1:13">
      <c r="A12" s="9">
        <v>8</v>
      </c>
      <c r="B12" s="9" t="str">
        <f t="shared" si="0"/>
        <v>A｜前期核心</v>
      </c>
      <c r="C12" s="9" t="s">
        <v>15</v>
      </c>
      <c r="D12" s="10" t="s">
        <v>36</v>
      </c>
      <c r="E12" s="10" t="s">
        <v>37</v>
      </c>
      <c r="F12" s="9">
        <v>5</v>
      </c>
      <c r="G12" s="9">
        <v>5</v>
      </c>
      <c r="H12" s="9">
        <v>5</v>
      </c>
      <c r="I12" s="9">
        <v>5</v>
      </c>
      <c r="J12" s="9">
        <v>5</v>
      </c>
      <c r="K12" s="9">
        <f t="shared" si="1"/>
        <v>100</v>
      </c>
      <c r="L12" s="9" t="s">
        <v>18</v>
      </c>
      <c r="M12" s="9" t="str">
        <f t="shared" si="2"/>
        <v>前期高频测试</v>
      </c>
    </row>
    <row r="13" ht="46" customHeight="1" spans="1:13">
      <c r="A13" s="9">
        <v>9</v>
      </c>
      <c r="B13" s="9" t="str">
        <f t="shared" si="0"/>
        <v>A｜前期核心</v>
      </c>
      <c r="C13" s="9" t="s">
        <v>19</v>
      </c>
      <c r="D13" s="10" t="s">
        <v>38</v>
      </c>
      <c r="E13" s="10" t="s">
        <v>39</v>
      </c>
      <c r="F13" s="9">
        <v>5</v>
      </c>
      <c r="G13" s="9">
        <v>5</v>
      </c>
      <c r="H13" s="9">
        <v>5</v>
      </c>
      <c r="I13" s="9">
        <v>5</v>
      </c>
      <c r="J13" s="9">
        <v>4</v>
      </c>
      <c r="K13" s="9">
        <f t="shared" si="1"/>
        <v>98</v>
      </c>
      <c r="L13" s="9" t="s">
        <v>18</v>
      </c>
      <c r="M13" s="9" t="str">
        <f t="shared" si="2"/>
        <v>前期高频测试</v>
      </c>
    </row>
    <row r="14" ht="46" customHeight="1" spans="1:13">
      <c r="A14" s="9">
        <v>10</v>
      </c>
      <c r="B14" s="9" t="str">
        <f t="shared" si="0"/>
        <v>A｜前期核心</v>
      </c>
      <c r="C14" s="9" t="s">
        <v>15</v>
      </c>
      <c r="D14" s="10" t="s">
        <v>40</v>
      </c>
      <c r="E14" s="10" t="s">
        <v>41</v>
      </c>
      <c r="F14" s="9">
        <v>5</v>
      </c>
      <c r="G14" s="9">
        <v>5</v>
      </c>
      <c r="H14" s="9">
        <v>5</v>
      </c>
      <c r="I14" s="9">
        <v>5</v>
      </c>
      <c r="J14" s="9">
        <v>5</v>
      </c>
      <c r="K14" s="9">
        <f t="shared" si="1"/>
        <v>100</v>
      </c>
      <c r="L14" s="9" t="s">
        <v>18</v>
      </c>
      <c r="M14" s="9" t="str">
        <f t="shared" si="2"/>
        <v>前期高频测试</v>
      </c>
    </row>
    <row r="15" ht="46" customHeight="1" spans="1:13">
      <c r="A15" s="9">
        <v>11</v>
      </c>
      <c r="B15" s="9" t="str">
        <f t="shared" si="0"/>
        <v>A｜前期核心</v>
      </c>
      <c r="C15" s="9" t="s">
        <v>24</v>
      </c>
      <c r="D15" s="10" t="s">
        <v>42</v>
      </c>
      <c r="E15" s="10" t="s">
        <v>43</v>
      </c>
      <c r="F15" s="9">
        <v>5</v>
      </c>
      <c r="G15" s="9">
        <v>5</v>
      </c>
      <c r="H15" s="9">
        <v>5</v>
      </c>
      <c r="I15" s="9">
        <v>5</v>
      </c>
      <c r="J15" s="9">
        <v>5</v>
      </c>
      <c r="K15" s="9">
        <f t="shared" si="1"/>
        <v>100</v>
      </c>
      <c r="L15" s="9" t="s">
        <v>18</v>
      </c>
      <c r="M15" s="9" t="str">
        <f t="shared" si="2"/>
        <v>前期高频测试</v>
      </c>
    </row>
    <row r="16" ht="46" customHeight="1" spans="1:13">
      <c r="A16" s="9">
        <v>12</v>
      </c>
      <c r="B16" s="9" t="str">
        <f t="shared" si="0"/>
        <v>A｜前期核心</v>
      </c>
      <c r="C16" s="9" t="s">
        <v>30</v>
      </c>
      <c r="D16" s="10" t="s">
        <v>44</v>
      </c>
      <c r="E16" s="10" t="s">
        <v>45</v>
      </c>
      <c r="F16" s="9">
        <v>5</v>
      </c>
      <c r="G16" s="9">
        <v>5</v>
      </c>
      <c r="H16" s="9">
        <v>5</v>
      </c>
      <c r="I16" s="9">
        <v>5</v>
      </c>
      <c r="J16" s="9">
        <v>5</v>
      </c>
      <c r="K16" s="9">
        <f t="shared" si="1"/>
        <v>100</v>
      </c>
      <c r="L16" s="9" t="s">
        <v>18</v>
      </c>
      <c r="M16" s="9" t="str">
        <f t="shared" si="2"/>
        <v>前期高频测试</v>
      </c>
    </row>
    <row r="17" ht="46" customHeight="1" spans="1:13">
      <c r="A17" s="9">
        <v>13</v>
      </c>
      <c r="B17" s="9" t="str">
        <f t="shared" si="0"/>
        <v>A｜前期核心</v>
      </c>
      <c r="C17" s="9" t="s">
        <v>33</v>
      </c>
      <c r="D17" s="10" t="s">
        <v>46</v>
      </c>
      <c r="E17" s="10" t="s">
        <v>47</v>
      </c>
      <c r="F17" s="9">
        <v>5</v>
      </c>
      <c r="G17" s="9">
        <v>5</v>
      </c>
      <c r="H17" s="9">
        <v>5</v>
      </c>
      <c r="I17" s="9">
        <v>5</v>
      </c>
      <c r="J17" s="9">
        <v>5</v>
      </c>
      <c r="K17" s="9">
        <f t="shared" si="1"/>
        <v>100</v>
      </c>
      <c r="L17" s="9" t="s">
        <v>18</v>
      </c>
      <c r="M17" s="9" t="str">
        <f t="shared" si="2"/>
        <v>前期高频测试</v>
      </c>
    </row>
    <row r="18" ht="46" customHeight="1" spans="1:13">
      <c r="A18" s="9">
        <v>14</v>
      </c>
      <c r="B18" s="9" t="str">
        <f t="shared" si="0"/>
        <v>A｜前期核心</v>
      </c>
      <c r="C18" s="9" t="s">
        <v>48</v>
      </c>
      <c r="D18" s="10" t="s">
        <v>49</v>
      </c>
      <c r="E18" s="10" t="s">
        <v>50</v>
      </c>
      <c r="F18" s="9">
        <v>5</v>
      </c>
      <c r="G18" s="9">
        <v>5</v>
      </c>
      <c r="H18" s="9">
        <v>5</v>
      </c>
      <c r="I18" s="9">
        <v>4</v>
      </c>
      <c r="J18" s="9">
        <v>4</v>
      </c>
      <c r="K18" s="9">
        <f t="shared" si="1"/>
        <v>95</v>
      </c>
      <c r="L18" s="9" t="s">
        <v>18</v>
      </c>
      <c r="M18" s="9" t="str">
        <f t="shared" si="2"/>
        <v>前期高频测试</v>
      </c>
    </row>
    <row r="19" ht="46" customHeight="1" spans="1:13">
      <c r="A19" s="9">
        <v>15</v>
      </c>
      <c r="B19" s="9" t="str">
        <f t="shared" si="0"/>
        <v>A｜前期核心</v>
      </c>
      <c r="C19" s="9" t="s">
        <v>19</v>
      </c>
      <c r="D19" s="10" t="s">
        <v>51</v>
      </c>
      <c r="E19" s="10" t="s">
        <v>52</v>
      </c>
      <c r="F19" s="9">
        <v>5</v>
      </c>
      <c r="G19" s="9">
        <v>5</v>
      </c>
      <c r="H19" s="9">
        <v>5</v>
      </c>
      <c r="I19" s="9">
        <v>5</v>
      </c>
      <c r="J19" s="9">
        <v>4</v>
      </c>
      <c r="K19" s="9">
        <f t="shared" si="1"/>
        <v>98</v>
      </c>
      <c r="L19" s="9" t="s">
        <v>18</v>
      </c>
      <c r="M19" s="9" t="str">
        <f t="shared" si="2"/>
        <v>前期高频测试</v>
      </c>
    </row>
    <row r="20" ht="46" customHeight="1" spans="1:13">
      <c r="A20" s="9">
        <v>16</v>
      </c>
      <c r="B20" s="9" t="str">
        <f t="shared" si="0"/>
        <v>A｜前期核心</v>
      </c>
      <c r="C20" s="9" t="s">
        <v>24</v>
      </c>
      <c r="D20" s="10" t="s">
        <v>53</v>
      </c>
      <c r="E20" s="10" t="s">
        <v>54</v>
      </c>
      <c r="F20" s="9">
        <v>5</v>
      </c>
      <c r="G20" s="9">
        <v>5</v>
      </c>
      <c r="H20" s="9">
        <v>5</v>
      </c>
      <c r="I20" s="9">
        <v>5</v>
      </c>
      <c r="J20" s="9">
        <v>4</v>
      </c>
      <c r="K20" s="9">
        <f t="shared" si="1"/>
        <v>98</v>
      </c>
      <c r="L20" s="9" t="s">
        <v>18</v>
      </c>
      <c r="M20" s="9" t="str">
        <f t="shared" si="2"/>
        <v>前期高频测试</v>
      </c>
    </row>
    <row r="21" ht="46" customHeight="1" spans="1:13">
      <c r="A21" s="9">
        <v>17</v>
      </c>
      <c r="B21" s="9" t="str">
        <f t="shared" si="0"/>
        <v>A｜前期核心</v>
      </c>
      <c r="C21" s="9" t="s">
        <v>24</v>
      </c>
      <c r="D21" s="10" t="s">
        <v>55</v>
      </c>
      <c r="E21" s="10" t="s">
        <v>56</v>
      </c>
      <c r="F21" s="9">
        <v>5</v>
      </c>
      <c r="G21" s="9">
        <v>5</v>
      </c>
      <c r="H21" s="9">
        <v>5</v>
      </c>
      <c r="I21" s="9">
        <v>5</v>
      </c>
      <c r="J21" s="9">
        <v>5</v>
      </c>
      <c r="K21" s="9">
        <f t="shared" si="1"/>
        <v>100</v>
      </c>
      <c r="L21" s="9" t="s">
        <v>18</v>
      </c>
      <c r="M21" s="9" t="str">
        <f t="shared" si="2"/>
        <v>前期高频测试</v>
      </c>
    </row>
    <row r="22" ht="46" customHeight="1" spans="1:13">
      <c r="A22" s="9">
        <v>18</v>
      </c>
      <c r="B22" s="9" t="str">
        <f t="shared" si="0"/>
        <v>A｜前期核心</v>
      </c>
      <c r="C22" s="9" t="s">
        <v>27</v>
      </c>
      <c r="D22" s="10" t="s">
        <v>57</v>
      </c>
      <c r="E22" s="10" t="s">
        <v>58</v>
      </c>
      <c r="F22" s="9">
        <v>5</v>
      </c>
      <c r="G22" s="9">
        <v>5</v>
      </c>
      <c r="H22" s="9">
        <v>5</v>
      </c>
      <c r="I22" s="9">
        <v>5</v>
      </c>
      <c r="J22" s="9">
        <v>5</v>
      </c>
      <c r="K22" s="9">
        <f t="shared" si="1"/>
        <v>100</v>
      </c>
      <c r="L22" s="9" t="s">
        <v>18</v>
      </c>
      <c r="M22" s="9" t="str">
        <f t="shared" si="2"/>
        <v>前期高频测试</v>
      </c>
    </row>
    <row r="23" ht="46" customHeight="1" spans="1:13">
      <c r="A23" s="9">
        <v>19</v>
      </c>
      <c r="B23" s="9" t="str">
        <f t="shared" si="0"/>
        <v>A｜前期核心</v>
      </c>
      <c r="C23" s="9" t="s">
        <v>15</v>
      </c>
      <c r="D23" s="10" t="s">
        <v>59</v>
      </c>
      <c r="E23" s="10" t="s">
        <v>60</v>
      </c>
      <c r="F23" s="9">
        <v>5</v>
      </c>
      <c r="G23" s="9">
        <v>5</v>
      </c>
      <c r="H23" s="9">
        <v>5</v>
      </c>
      <c r="I23" s="9">
        <v>5</v>
      </c>
      <c r="J23" s="9">
        <v>4</v>
      </c>
      <c r="K23" s="9">
        <f t="shared" si="1"/>
        <v>98</v>
      </c>
      <c r="L23" s="9" t="s">
        <v>18</v>
      </c>
      <c r="M23" s="9" t="str">
        <f t="shared" si="2"/>
        <v>前期高频测试</v>
      </c>
    </row>
    <row r="24" ht="46" customHeight="1" spans="1:13">
      <c r="A24" s="9">
        <v>20</v>
      </c>
      <c r="B24" s="9" t="str">
        <f t="shared" si="0"/>
        <v>A｜前期核心</v>
      </c>
      <c r="C24" s="9" t="s">
        <v>27</v>
      </c>
      <c r="D24" s="10" t="s">
        <v>61</v>
      </c>
      <c r="E24" s="10" t="s">
        <v>62</v>
      </c>
      <c r="F24" s="9">
        <v>5</v>
      </c>
      <c r="G24" s="9">
        <v>5</v>
      </c>
      <c r="H24" s="9">
        <v>5</v>
      </c>
      <c r="I24" s="9">
        <v>5</v>
      </c>
      <c r="J24" s="9">
        <v>4</v>
      </c>
      <c r="K24" s="9">
        <f t="shared" si="1"/>
        <v>98</v>
      </c>
      <c r="L24" s="9" t="s">
        <v>18</v>
      </c>
      <c r="M24" s="9" t="str">
        <f t="shared" si="2"/>
        <v>前期高频测试</v>
      </c>
    </row>
    <row r="25" ht="46" customHeight="1" spans="1:13">
      <c r="A25" s="9">
        <v>21</v>
      </c>
      <c r="B25" s="9" t="str">
        <f t="shared" si="0"/>
        <v>B｜中段建设</v>
      </c>
      <c r="C25" s="9" t="s">
        <v>30</v>
      </c>
      <c r="D25" s="10" t="s">
        <v>63</v>
      </c>
      <c r="E25" s="10" t="s">
        <v>64</v>
      </c>
      <c r="F25" s="9">
        <v>5</v>
      </c>
      <c r="G25" s="9">
        <v>5</v>
      </c>
      <c r="H25" s="9">
        <v>5</v>
      </c>
      <c r="I25" s="9">
        <v>5</v>
      </c>
      <c r="J25" s="9">
        <v>5</v>
      </c>
      <c r="K25" s="9">
        <f t="shared" si="1"/>
        <v>100</v>
      </c>
      <c r="L25" s="9" t="s">
        <v>65</v>
      </c>
      <c r="M25" s="9" t="str">
        <f t="shared" si="2"/>
        <v>前中期穿插</v>
      </c>
    </row>
    <row r="26" ht="46" customHeight="1" spans="1:13">
      <c r="A26" s="9">
        <v>22</v>
      </c>
      <c r="B26" s="9" t="str">
        <f t="shared" si="0"/>
        <v>B｜中段建设</v>
      </c>
      <c r="C26" s="9" t="s">
        <v>33</v>
      </c>
      <c r="D26" s="10" t="s">
        <v>66</v>
      </c>
      <c r="E26" s="10" t="s">
        <v>67</v>
      </c>
      <c r="F26" s="9">
        <v>5</v>
      </c>
      <c r="G26" s="9">
        <v>5</v>
      </c>
      <c r="H26" s="9">
        <v>5</v>
      </c>
      <c r="I26" s="9">
        <v>5</v>
      </c>
      <c r="J26" s="9">
        <v>5</v>
      </c>
      <c r="K26" s="9">
        <f t="shared" si="1"/>
        <v>100</v>
      </c>
      <c r="L26" s="9" t="s">
        <v>65</v>
      </c>
      <c r="M26" s="9" t="str">
        <f t="shared" si="2"/>
        <v>前中期穿插</v>
      </c>
    </row>
    <row r="27" ht="46" customHeight="1" spans="1:13">
      <c r="A27" s="9">
        <v>23</v>
      </c>
      <c r="B27" s="9" t="str">
        <f t="shared" si="0"/>
        <v>B｜中段建设</v>
      </c>
      <c r="C27" s="9" t="s">
        <v>48</v>
      </c>
      <c r="D27" s="10" t="s">
        <v>68</v>
      </c>
      <c r="E27" s="10" t="s">
        <v>69</v>
      </c>
      <c r="F27" s="9">
        <v>5</v>
      </c>
      <c r="G27" s="9">
        <v>5</v>
      </c>
      <c r="H27" s="9">
        <v>4</v>
      </c>
      <c r="I27" s="9">
        <v>4</v>
      </c>
      <c r="J27" s="9">
        <v>3</v>
      </c>
      <c r="K27" s="9">
        <f t="shared" si="1"/>
        <v>89</v>
      </c>
      <c r="L27" s="9" t="s">
        <v>65</v>
      </c>
      <c r="M27" s="9" t="str">
        <f t="shared" si="2"/>
        <v>前中期穿插</v>
      </c>
    </row>
    <row r="28" ht="46" customHeight="1" spans="1:13">
      <c r="A28" s="9">
        <v>24</v>
      </c>
      <c r="B28" s="9" t="str">
        <f t="shared" si="0"/>
        <v>B｜中段建设</v>
      </c>
      <c r="C28" s="9" t="s">
        <v>19</v>
      </c>
      <c r="D28" s="10" t="s">
        <v>70</v>
      </c>
      <c r="E28" s="10" t="s">
        <v>71</v>
      </c>
      <c r="F28" s="9">
        <v>5</v>
      </c>
      <c r="G28" s="9">
        <v>5</v>
      </c>
      <c r="H28" s="9">
        <v>4</v>
      </c>
      <c r="I28" s="9">
        <v>4</v>
      </c>
      <c r="J28" s="9">
        <v>3</v>
      </c>
      <c r="K28" s="9">
        <f t="shared" si="1"/>
        <v>89</v>
      </c>
      <c r="L28" s="9" t="s">
        <v>65</v>
      </c>
      <c r="M28" s="9" t="str">
        <f t="shared" si="2"/>
        <v>前中期穿插</v>
      </c>
    </row>
    <row r="29" ht="46" customHeight="1" spans="1:13">
      <c r="A29" s="9">
        <v>25</v>
      </c>
      <c r="B29" s="9" t="str">
        <f t="shared" si="0"/>
        <v>B｜中段建设</v>
      </c>
      <c r="C29" s="9" t="s">
        <v>27</v>
      </c>
      <c r="D29" s="10" t="s">
        <v>72</v>
      </c>
      <c r="E29" s="10" t="s">
        <v>73</v>
      </c>
      <c r="F29" s="9">
        <v>5</v>
      </c>
      <c r="G29" s="9">
        <v>5</v>
      </c>
      <c r="H29" s="9">
        <v>5</v>
      </c>
      <c r="I29" s="9">
        <v>5</v>
      </c>
      <c r="J29" s="9">
        <v>4</v>
      </c>
      <c r="K29" s="9">
        <f t="shared" si="1"/>
        <v>98</v>
      </c>
      <c r="L29" s="9" t="s">
        <v>65</v>
      </c>
      <c r="M29" s="9" t="str">
        <f t="shared" si="2"/>
        <v>前中期穿插</v>
      </c>
    </row>
    <row r="30" ht="46" customHeight="1" spans="1:13">
      <c r="A30" s="9">
        <v>26</v>
      </c>
      <c r="B30" s="9" t="str">
        <f t="shared" si="0"/>
        <v>B｜中段建设</v>
      </c>
      <c r="C30" s="9" t="s">
        <v>15</v>
      </c>
      <c r="D30" s="10" t="s">
        <v>74</v>
      </c>
      <c r="E30" s="10" t="s">
        <v>75</v>
      </c>
      <c r="F30" s="9">
        <v>5</v>
      </c>
      <c r="G30" s="9">
        <v>5</v>
      </c>
      <c r="H30" s="9">
        <v>5</v>
      </c>
      <c r="I30" s="9">
        <v>5</v>
      </c>
      <c r="J30" s="9">
        <v>5</v>
      </c>
      <c r="K30" s="9">
        <f t="shared" si="1"/>
        <v>100</v>
      </c>
      <c r="L30" s="9" t="s">
        <v>65</v>
      </c>
      <c r="M30" s="9" t="str">
        <f t="shared" si="2"/>
        <v>前中期穿插</v>
      </c>
    </row>
    <row r="31" ht="46" customHeight="1" spans="1:13">
      <c r="A31" s="9">
        <v>27</v>
      </c>
      <c r="B31" s="9" t="str">
        <f t="shared" si="0"/>
        <v>B｜中段建设</v>
      </c>
      <c r="C31" s="9" t="s">
        <v>24</v>
      </c>
      <c r="D31" s="10" t="s">
        <v>76</v>
      </c>
      <c r="E31" s="10" t="s">
        <v>77</v>
      </c>
      <c r="F31" s="9">
        <v>5</v>
      </c>
      <c r="G31" s="9">
        <v>5</v>
      </c>
      <c r="H31" s="9">
        <v>5</v>
      </c>
      <c r="I31" s="9">
        <v>5</v>
      </c>
      <c r="J31" s="9">
        <v>5</v>
      </c>
      <c r="K31" s="9">
        <f t="shared" si="1"/>
        <v>100</v>
      </c>
      <c r="L31" s="9" t="s">
        <v>65</v>
      </c>
      <c r="M31" s="9" t="str">
        <f t="shared" si="2"/>
        <v>前中期穿插</v>
      </c>
    </row>
    <row r="32" ht="46" customHeight="1" spans="1:13">
      <c r="A32" s="9">
        <v>28</v>
      </c>
      <c r="B32" s="9" t="str">
        <f t="shared" si="0"/>
        <v>B｜中段建设</v>
      </c>
      <c r="C32" s="9" t="s">
        <v>30</v>
      </c>
      <c r="D32" s="10" t="s">
        <v>78</v>
      </c>
      <c r="E32" s="10" t="s">
        <v>79</v>
      </c>
      <c r="F32" s="9">
        <v>5</v>
      </c>
      <c r="G32" s="9">
        <v>5</v>
      </c>
      <c r="H32" s="9">
        <v>5</v>
      </c>
      <c r="I32" s="9">
        <v>5</v>
      </c>
      <c r="J32" s="9">
        <v>5</v>
      </c>
      <c r="K32" s="9">
        <f t="shared" si="1"/>
        <v>100</v>
      </c>
      <c r="L32" s="9" t="s">
        <v>65</v>
      </c>
      <c r="M32" s="9" t="str">
        <f t="shared" si="2"/>
        <v>前中期穿插</v>
      </c>
    </row>
    <row r="33" ht="46" customHeight="1" spans="1:13">
      <c r="A33" s="9">
        <v>29</v>
      </c>
      <c r="B33" s="9" t="str">
        <f t="shared" si="0"/>
        <v>B｜中段建设</v>
      </c>
      <c r="C33" s="9" t="s">
        <v>30</v>
      </c>
      <c r="D33" s="10" t="s">
        <v>80</v>
      </c>
      <c r="E33" s="10" t="s">
        <v>81</v>
      </c>
      <c r="F33" s="9">
        <v>5</v>
      </c>
      <c r="G33" s="9">
        <v>5</v>
      </c>
      <c r="H33" s="9">
        <v>5</v>
      </c>
      <c r="I33" s="9">
        <v>5</v>
      </c>
      <c r="J33" s="9">
        <v>5</v>
      </c>
      <c r="K33" s="9">
        <f t="shared" si="1"/>
        <v>100</v>
      </c>
      <c r="L33" s="9" t="s">
        <v>65</v>
      </c>
      <c r="M33" s="9" t="str">
        <f t="shared" si="2"/>
        <v>前中期穿插</v>
      </c>
    </row>
    <row r="34" ht="46" customHeight="1" spans="1:13">
      <c r="A34" s="9">
        <v>30</v>
      </c>
      <c r="B34" s="9" t="str">
        <f t="shared" si="0"/>
        <v>B｜中段建设</v>
      </c>
      <c r="C34" s="9" t="s">
        <v>15</v>
      </c>
      <c r="D34" s="10" t="s">
        <v>82</v>
      </c>
      <c r="E34" s="10" t="s">
        <v>83</v>
      </c>
      <c r="F34" s="9">
        <v>5</v>
      </c>
      <c r="G34" s="9">
        <v>5</v>
      </c>
      <c r="H34" s="9">
        <v>5</v>
      </c>
      <c r="I34" s="9">
        <v>5</v>
      </c>
      <c r="J34" s="9">
        <v>5</v>
      </c>
      <c r="K34" s="9">
        <f t="shared" si="1"/>
        <v>100</v>
      </c>
      <c r="L34" s="9" t="s">
        <v>65</v>
      </c>
      <c r="M34" s="9" t="str">
        <f t="shared" si="2"/>
        <v>前中期穿插</v>
      </c>
    </row>
    <row r="35" ht="46" customHeight="1" spans="1:13">
      <c r="A35" s="9">
        <v>31</v>
      </c>
      <c r="B35" s="9" t="str">
        <f t="shared" si="0"/>
        <v>B｜中段建设</v>
      </c>
      <c r="C35" s="9" t="s">
        <v>15</v>
      </c>
      <c r="D35" s="10" t="s">
        <v>84</v>
      </c>
      <c r="E35" s="10" t="s">
        <v>85</v>
      </c>
      <c r="F35" s="9">
        <v>4</v>
      </c>
      <c r="G35" s="9">
        <v>5</v>
      </c>
      <c r="H35" s="9">
        <v>5</v>
      </c>
      <c r="I35" s="9">
        <v>5</v>
      </c>
      <c r="J35" s="9">
        <v>5</v>
      </c>
      <c r="K35" s="9">
        <f t="shared" si="1"/>
        <v>94</v>
      </c>
      <c r="L35" s="9" t="s">
        <v>65</v>
      </c>
      <c r="M35" s="9" t="str">
        <f t="shared" si="2"/>
        <v>前中期穿插</v>
      </c>
    </row>
    <row r="36" ht="46" customHeight="1" spans="1:13">
      <c r="A36" s="9">
        <v>32</v>
      </c>
      <c r="B36" s="9" t="str">
        <f t="shared" si="0"/>
        <v>B｜中段建设</v>
      </c>
      <c r="C36" s="9" t="s">
        <v>24</v>
      </c>
      <c r="D36" s="10" t="s">
        <v>86</v>
      </c>
      <c r="E36" s="10" t="s">
        <v>87</v>
      </c>
      <c r="F36" s="9">
        <v>5</v>
      </c>
      <c r="G36" s="9">
        <v>5</v>
      </c>
      <c r="H36" s="9">
        <v>5</v>
      </c>
      <c r="I36" s="9">
        <v>5</v>
      </c>
      <c r="J36" s="9">
        <v>5</v>
      </c>
      <c r="K36" s="9">
        <f t="shared" si="1"/>
        <v>100</v>
      </c>
      <c r="L36" s="9" t="s">
        <v>65</v>
      </c>
      <c r="M36" s="9" t="str">
        <f t="shared" si="2"/>
        <v>前中期穿插</v>
      </c>
    </row>
    <row r="37" ht="46" customHeight="1" spans="1:13">
      <c r="A37" s="9">
        <v>33</v>
      </c>
      <c r="B37" s="9" t="str">
        <f t="shared" si="0"/>
        <v>B｜中段建设</v>
      </c>
      <c r="C37" s="9" t="s">
        <v>27</v>
      </c>
      <c r="D37" s="10" t="s">
        <v>88</v>
      </c>
      <c r="E37" s="10" t="s">
        <v>89</v>
      </c>
      <c r="F37" s="9">
        <v>5</v>
      </c>
      <c r="G37" s="9">
        <v>5</v>
      </c>
      <c r="H37" s="9">
        <v>5</v>
      </c>
      <c r="I37" s="9">
        <v>5</v>
      </c>
      <c r="J37" s="9">
        <v>5</v>
      </c>
      <c r="K37" s="9">
        <f t="shared" si="1"/>
        <v>100</v>
      </c>
      <c r="L37" s="9" t="s">
        <v>65</v>
      </c>
      <c r="M37" s="9" t="str">
        <f t="shared" si="2"/>
        <v>前中期穿插</v>
      </c>
    </row>
    <row r="38" ht="46" customHeight="1" spans="1:13">
      <c r="A38" s="9">
        <v>34</v>
      </c>
      <c r="B38" s="9" t="str">
        <f t="shared" si="0"/>
        <v>B｜中段建设</v>
      </c>
      <c r="C38" s="9" t="s">
        <v>27</v>
      </c>
      <c r="D38" s="10" t="s">
        <v>90</v>
      </c>
      <c r="E38" s="10" t="s">
        <v>91</v>
      </c>
      <c r="F38" s="9">
        <v>5</v>
      </c>
      <c r="G38" s="9">
        <v>5</v>
      </c>
      <c r="H38" s="9">
        <v>5</v>
      </c>
      <c r="I38" s="9">
        <v>5</v>
      </c>
      <c r="J38" s="9">
        <v>5</v>
      </c>
      <c r="K38" s="9">
        <f t="shared" si="1"/>
        <v>100</v>
      </c>
      <c r="L38" s="9" t="s">
        <v>65</v>
      </c>
      <c r="M38" s="9" t="str">
        <f t="shared" si="2"/>
        <v>前中期穿插</v>
      </c>
    </row>
    <row r="39" ht="46" customHeight="1" spans="1:13">
      <c r="A39" s="9">
        <v>35</v>
      </c>
      <c r="B39" s="9" t="str">
        <f t="shared" si="0"/>
        <v>B｜中段建设</v>
      </c>
      <c r="C39" s="9" t="s">
        <v>33</v>
      </c>
      <c r="D39" s="10" t="s">
        <v>92</v>
      </c>
      <c r="E39" s="10" t="s">
        <v>93</v>
      </c>
      <c r="F39" s="9">
        <v>5</v>
      </c>
      <c r="G39" s="9">
        <v>5</v>
      </c>
      <c r="H39" s="9">
        <v>5</v>
      </c>
      <c r="I39" s="9">
        <v>5</v>
      </c>
      <c r="J39" s="9">
        <v>5</v>
      </c>
      <c r="K39" s="9">
        <f t="shared" si="1"/>
        <v>100</v>
      </c>
      <c r="L39" s="9" t="s">
        <v>65</v>
      </c>
      <c r="M39" s="9" t="str">
        <f t="shared" si="2"/>
        <v>前中期穿插</v>
      </c>
    </row>
    <row r="40" ht="46" customHeight="1" spans="1:13">
      <c r="A40" s="9">
        <v>36</v>
      </c>
      <c r="B40" s="9" t="str">
        <f t="shared" si="0"/>
        <v>B｜中段建设</v>
      </c>
      <c r="C40" s="9" t="s">
        <v>33</v>
      </c>
      <c r="D40" s="10" t="s">
        <v>94</v>
      </c>
      <c r="E40" s="10" t="s">
        <v>95</v>
      </c>
      <c r="F40" s="9">
        <v>5</v>
      </c>
      <c r="G40" s="9">
        <v>5</v>
      </c>
      <c r="H40" s="9">
        <v>5</v>
      </c>
      <c r="I40" s="9">
        <v>5</v>
      </c>
      <c r="J40" s="9">
        <v>5</v>
      </c>
      <c r="K40" s="9">
        <f t="shared" si="1"/>
        <v>100</v>
      </c>
      <c r="L40" s="9" t="s">
        <v>65</v>
      </c>
      <c r="M40" s="9" t="str">
        <f t="shared" si="2"/>
        <v>前中期穿插</v>
      </c>
    </row>
    <row r="41" ht="46" customHeight="1" spans="1:13">
      <c r="A41" s="9">
        <v>37</v>
      </c>
      <c r="B41" s="9" t="str">
        <f t="shared" si="0"/>
        <v>B｜中段建设</v>
      </c>
      <c r="C41" s="9" t="s">
        <v>19</v>
      </c>
      <c r="D41" s="10" t="s">
        <v>96</v>
      </c>
      <c r="E41" s="10" t="s">
        <v>97</v>
      </c>
      <c r="F41" s="9">
        <v>5</v>
      </c>
      <c r="G41" s="9">
        <v>5</v>
      </c>
      <c r="H41" s="9">
        <v>5</v>
      </c>
      <c r="I41" s="9">
        <v>4</v>
      </c>
      <c r="J41" s="9">
        <v>3</v>
      </c>
      <c r="K41" s="9">
        <f t="shared" si="1"/>
        <v>93</v>
      </c>
      <c r="L41" s="9" t="s">
        <v>65</v>
      </c>
      <c r="M41" s="9" t="str">
        <f t="shared" si="2"/>
        <v>前中期穿插</v>
      </c>
    </row>
    <row r="42" ht="46" customHeight="1" spans="1:13">
      <c r="A42" s="9">
        <v>38</v>
      </c>
      <c r="B42" s="9" t="str">
        <f t="shared" si="0"/>
        <v>B｜中段建设</v>
      </c>
      <c r="C42" s="9" t="s">
        <v>19</v>
      </c>
      <c r="D42" s="10" t="s">
        <v>98</v>
      </c>
      <c r="E42" s="10" t="s">
        <v>99</v>
      </c>
      <c r="F42" s="9">
        <v>5</v>
      </c>
      <c r="G42" s="9">
        <v>5</v>
      </c>
      <c r="H42" s="9">
        <v>4</v>
      </c>
      <c r="I42" s="9">
        <v>4</v>
      </c>
      <c r="J42" s="9">
        <v>3</v>
      </c>
      <c r="K42" s="9">
        <f t="shared" si="1"/>
        <v>89</v>
      </c>
      <c r="L42" s="9" t="s">
        <v>65</v>
      </c>
      <c r="M42" s="9" t="str">
        <f t="shared" si="2"/>
        <v>前中期穿插</v>
      </c>
    </row>
    <row r="43" ht="46" customHeight="1" spans="1:13">
      <c r="A43" s="9">
        <v>39</v>
      </c>
      <c r="B43" s="9" t="str">
        <f t="shared" si="0"/>
        <v>B｜中段建设</v>
      </c>
      <c r="C43" s="9" t="s">
        <v>15</v>
      </c>
      <c r="D43" s="10" t="s">
        <v>100</v>
      </c>
      <c r="E43" s="10" t="s">
        <v>101</v>
      </c>
      <c r="F43" s="9">
        <v>5</v>
      </c>
      <c r="G43" s="9">
        <v>5</v>
      </c>
      <c r="H43" s="9">
        <v>5</v>
      </c>
      <c r="I43" s="9">
        <v>5</v>
      </c>
      <c r="J43" s="9">
        <v>4</v>
      </c>
      <c r="K43" s="9">
        <f t="shared" si="1"/>
        <v>98</v>
      </c>
      <c r="L43" s="9" t="s">
        <v>65</v>
      </c>
      <c r="M43" s="9" t="str">
        <f t="shared" si="2"/>
        <v>前中期穿插</v>
      </c>
    </row>
    <row r="44" ht="46" customHeight="1" spans="1:13">
      <c r="A44" s="9">
        <v>40</v>
      </c>
      <c r="B44" s="9" t="str">
        <f t="shared" si="0"/>
        <v>B｜中段建设</v>
      </c>
      <c r="C44" s="9" t="s">
        <v>15</v>
      </c>
      <c r="D44" s="10" t="s">
        <v>102</v>
      </c>
      <c r="E44" s="10" t="s">
        <v>103</v>
      </c>
      <c r="F44" s="9">
        <v>5</v>
      </c>
      <c r="G44" s="9">
        <v>5</v>
      </c>
      <c r="H44" s="9">
        <v>5</v>
      </c>
      <c r="I44" s="9">
        <v>4</v>
      </c>
      <c r="J44" s="9">
        <v>4</v>
      </c>
      <c r="K44" s="9">
        <f t="shared" si="1"/>
        <v>95</v>
      </c>
      <c r="L44" s="9" t="s">
        <v>65</v>
      </c>
      <c r="M44" s="9" t="str">
        <f t="shared" si="2"/>
        <v>前中期穿插</v>
      </c>
    </row>
    <row r="45" ht="46" customHeight="1" spans="1:13">
      <c r="A45" s="9">
        <v>41</v>
      </c>
      <c r="B45" s="9" t="str">
        <f t="shared" si="0"/>
        <v>B｜中段建设</v>
      </c>
      <c r="C45" s="9" t="s">
        <v>24</v>
      </c>
      <c r="D45" s="10" t="s">
        <v>104</v>
      </c>
      <c r="E45" s="10" t="s">
        <v>105</v>
      </c>
      <c r="F45" s="9">
        <v>5</v>
      </c>
      <c r="G45" s="9">
        <v>5</v>
      </c>
      <c r="H45" s="9">
        <v>5</v>
      </c>
      <c r="I45" s="9">
        <v>4</v>
      </c>
      <c r="J45" s="9">
        <v>5</v>
      </c>
      <c r="K45" s="9">
        <f t="shared" si="1"/>
        <v>97</v>
      </c>
      <c r="L45" s="9" t="s">
        <v>65</v>
      </c>
      <c r="M45" s="9" t="str">
        <f t="shared" si="2"/>
        <v>前中期穿插</v>
      </c>
    </row>
    <row r="46" ht="46" customHeight="1" spans="1:13">
      <c r="A46" s="9">
        <v>42</v>
      </c>
      <c r="B46" s="9" t="str">
        <f t="shared" si="0"/>
        <v>B｜中段建设</v>
      </c>
      <c r="C46" s="9" t="s">
        <v>24</v>
      </c>
      <c r="D46" s="10" t="s">
        <v>106</v>
      </c>
      <c r="E46" s="10" t="s">
        <v>107</v>
      </c>
      <c r="F46" s="9">
        <v>5</v>
      </c>
      <c r="G46" s="9">
        <v>5</v>
      </c>
      <c r="H46" s="9">
        <v>5</v>
      </c>
      <c r="I46" s="9">
        <v>5</v>
      </c>
      <c r="J46" s="9">
        <v>4</v>
      </c>
      <c r="K46" s="9">
        <f t="shared" si="1"/>
        <v>98</v>
      </c>
      <c r="L46" s="9" t="s">
        <v>65</v>
      </c>
      <c r="M46" s="9" t="str">
        <f t="shared" si="2"/>
        <v>前中期穿插</v>
      </c>
    </row>
    <row r="47" ht="46" customHeight="1" spans="1:13">
      <c r="A47" s="9">
        <v>43</v>
      </c>
      <c r="B47" s="9" t="str">
        <f t="shared" si="0"/>
        <v>B｜中段建设</v>
      </c>
      <c r="C47" s="9" t="s">
        <v>27</v>
      </c>
      <c r="D47" s="10" t="s">
        <v>108</v>
      </c>
      <c r="E47" s="10" t="s">
        <v>109</v>
      </c>
      <c r="F47" s="9">
        <v>5</v>
      </c>
      <c r="G47" s="9">
        <v>5</v>
      </c>
      <c r="H47" s="9">
        <v>5</v>
      </c>
      <c r="I47" s="9">
        <v>5</v>
      </c>
      <c r="J47" s="9">
        <v>4</v>
      </c>
      <c r="K47" s="9">
        <f t="shared" si="1"/>
        <v>98</v>
      </c>
      <c r="L47" s="9" t="s">
        <v>65</v>
      </c>
      <c r="M47" s="9" t="str">
        <f t="shared" si="2"/>
        <v>前中期穿插</v>
      </c>
    </row>
    <row r="48" ht="46" customHeight="1" spans="1:13">
      <c r="A48" s="9">
        <v>44</v>
      </c>
      <c r="B48" s="9" t="str">
        <f t="shared" si="0"/>
        <v>B｜中段建设</v>
      </c>
      <c r="C48" s="9" t="s">
        <v>30</v>
      </c>
      <c r="D48" s="10" t="s">
        <v>110</v>
      </c>
      <c r="E48" s="10" t="s">
        <v>111</v>
      </c>
      <c r="F48" s="9">
        <v>5</v>
      </c>
      <c r="G48" s="9">
        <v>5</v>
      </c>
      <c r="H48" s="9">
        <v>5</v>
      </c>
      <c r="I48" s="9">
        <v>5</v>
      </c>
      <c r="J48" s="9">
        <v>5</v>
      </c>
      <c r="K48" s="9">
        <f t="shared" si="1"/>
        <v>100</v>
      </c>
      <c r="L48" s="9" t="s">
        <v>65</v>
      </c>
      <c r="M48" s="9" t="str">
        <f t="shared" si="2"/>
        <v>前中期穿插</v>
      </c>
    </row>
    <row r="49" ht="46" customHeight="1" spans="1:13">
      <c r="A49" s="9">
        <v>45</v>
      </c>
      <c r="B49" s="9" t="str">
        <f t="shared" si="0"/>
        <v>B｜中段建设</v>
      </c>
      <c r="C49" s="9" t="s">
        <v>30</v>
      </c>
      <c r="D49" s="10" t="s">
        <v>112</v>
      </c>
      <c r="E49" s="10" t="s">
        <v>113</v>
      </c>
      <c r="F49" s="9">
        <v>5</v>
      </c>
      <c r="G49" s="9">
        <v>5</v>
      </c>
      <c r="H49" s="9">
        <v>5</v>
      </c>
      <c r="I49" s="9">
        <v>5</v>
      </c>
      <c r="J49" s="9">
        <v>4</v>
      </c>
      <c r="K49" s="9">
        <f t="shared" si="1"/>
        <v>98</v>
      </c>
      <c r="L49" s="9" t="s">
        <v>65</v>
      </c>
      <c r="M49" s="9" t="str">
        <f t="shared" si="2"/>
        <v>前中期穿插</v>
      </c>
    </row>
    <row r="50" ht="46" customHeight="1" spans="1:13">
      <c r="A50" s="9">
        <v>46</v>
      </c>
      <c r="B50" s="9" t="str">
        <f t="shared" si="0"/>
        <v>C｜体系深化</v>
      </c>
      <c r="C50" s="9" t="s">
        <v>48</v>
      </c>
      <c r="D50" s="10" t="s">
        <v>114</v>
      </c>
      <c r="E50" s="10" t="s">
        <v>115</v>
      </c>
      <c r="F50" s="9">
        <v>5</v>
      </c>
      <c r="G50" s="9">
        <v>5</v>
      </c>
      <c r="H50" s="9">
        <v>5</v>
      </c>
      <c r="I50" s="9">
        <v>5</v>
      </c>
      <c r="J50" s="9">
        <v>4</v>
      </c>
      <c r="K50" s="9">
        <f t="shared" si="1"/>
        <v>98</v>
      </c>
      <c r="L50" s="9" t="s">
        <v>116</v>
      </c>
      <c r="M50" s="9" t="str">
        <f t="shared" si="2"/>
        <v>中后期逐步增加</v>
      </c>
    </row>
    <row r="51" ht="46" customHeight="1" spans="1:13">
      <c r="A51" s="9">
        <v>47</v>
      </c>
      <c r="B51" s="9" t="str">
        <f t="shared" si="0"/>
        <v>C｜体系深化</v>
      </c>
      <c r="C51" s="9" t="s">
        <v>48</v>
      </c>
      <c r="D51" s="10" t="s">
        <v>117</v>
      </c>
      <c r="E51" s="10" t="s">
        <v>118</v>
      </c>
      <c r="F51" s="9">
        <v>4</v>
      </c>
      <c r="G51" s="9">
        <v>4</v>
      </c>
      <c r="H51" s="9">
        <v>5</v>
      </c>
      <c r="I51" s="9">
        <v>5</v>
      </c>
      <c r="J51" s="9">
        <v>5</v>
      </c>
      <c r="K51" s="9">
        <f t="shared" si="1"/>
        <v>89</v>
      </c>
      <c r="L51" s="9" t="s">
        <v>116</v>
      </c>
      <c r="M51" s="9" t="str">
        <f t="shared" si="2"/>
        <v>中后期逐步增加</v>
      </c>
    </row>
    <row r="52" ht="46" customHeight="1" spans="1:13">
      <c r="A52" s="9">
        <v>48</v>
      </c>
      <c r="B52" s="9" t="str">
        <f t="shared" si="0"/>
        <v>C｜体系深化</v>
      </c>
      <c r="C52" s="9" t="s">
        <v>48</v>
      </c>
      <c r="D52" s="10" t="s">
        <v>119</v>
      </c>
      <c r="E52" s="10" t="s">
        <v>120</v>
      </c>
      <c r="F52" s="9">
        <v>5</v>
      </c>
      <c r="G52" s="9">
        <v>4</v>
      </c>
      <c r="H52" s="9">
        <v>4</v>
      </c>
      <c r="I52" s="9">
        <v>4</v>
      </c>
      <c r="J52" s="9">
        <v>3</v>
      </c>
      <c r="K52" s="9">
        <f t="shared" si="1"/>
        <v>84</v>
      </c>
      <c r="L52" s="9" t="s">
        <v>116</v>
      </c>
      <c r="M52" s="9" t="str">
        <f t="shared" si="2"/>
        <v>中后期逐步增加</v>
      </c>
    </row>
    <row r="53" ht="46" customHeight="1" spans="1:13">
      <c r="A53" s="9">
        <v>49</v>
      </c>
      <c r="B53" s="9" t="str">
        <f t="shared" si="0"/>
        <v>C｜体系深化</v>
      </c>
      <c r="C53" s="9" t="s">
        <v>48</v>
      </c>
      <c r="D53" s="10" t="s">
        <v>121</v>
      </c>
      <c r="E53" s="10" t="s">
        <v>122</v>
      </c>
      <c r="F53" s="9">
        <v>5</v>
      </c>
      <c r="G53" s="9">
        <v>4</v>
      </c>
      <c r="H53" s="9">
        <v>4</v>
      </c>
      <c r="I53" s="9">
        <v>4</v>
      </c>
      <c r="J53" s="9">
        <v>3</v>
      </c>
      <c r="K53" s="9">
        <f t="shared" si="1"/>
        <v>84</v>
      </c>
      <c r="L53" s="9" t="s">
        <v>116</v>
      </c>
      <c r="M53" s="9" t="str">
        <f t="shared" si="2"/>
        <v>中后期逐步增加</v>
      </c>
    </row>
    <row r="54" ht="46" customHeight="1" spans="1:13">
      <c r="A54" s="9">
        <v>50</v>
      </c>
      <c r="B54" s="9" t="str">
        <f t="shared" si="0"/>
        <v>C｜体系深化</v>
      </c>
      <c r="C54" s="9" t="s">
        <v>19</v>
      </c>
      <c r="D54" s="10" t="s">
        <v>123</v>
      </c>
      <c r="E54" s="10" t="s">
        <v>124</v>
      </c>
      <c r="F54" s="9">
        <v>5</v>
      </c>
      <c r="G54" s="9">
        <v>5</v>
      </c>
      <c r="H54" s="9">
        <v>4</v>
      </c>
      <c r="I54" s="9">
        <v>4</v>
      </c>
      <c r="J54" s="9">
        <v>4</v>
      </c>
      <c r="K54" s="9">
        <f t="shared" si="1"/>
        <v>91</v>
      </c>
      <c r="L54" s="9" t="s">
        <v>116</v>
      </c>
      <c r="M54" s="9" t="str">
        <f t="shared" si="2"/>
        <v>中后期逐步增加</v>
      </c>
    </row>
    <row r="55" ht="46" customHeight="1" spans="1:13">
      <c r="A55" s="9">
        <v>51</v>
      </c>
      <c r="B55" s="9" t="str">
        <f t="shared" si="0"/>
        <v>C｜体系深化</v>
      </c>
      <c r="C55" s="9" t="s">
        <v>19</v>
      </c>
      <c r="D55" s="10" t="s">
        <v>125</v>
      </c>
      <c r="E55" s="10" t="s">
        <v>126</v>
      </c>
      <c r="F55" s="9">
        <v>5</v>
      </c>
      <c r="G55" s="9">
        <v>5</v>
      </c>
      <c r="H55" s="9">
        <v>4</v>
      </c>
      <c r="I55" s="9">
        <v>4</v>
      </c>
      <c r="J55" s="9">
        <v>4</v>
      </c>
      <c r="K55" s="9">
        <f t="shared" si="1"/>
        <v>91</v>
      </c>
      <c r="L55" s="9" t="s">
        <v>116</v>
      </c>
      <c r="M55" s="9" t="str">
        <f t="shared" si="2"/>
        <v>中后期逐步增加</v>
      </c>
    </row>
    <row r="56" ht="46" customHeight="1" spans="1:13">
      <c r="A56" s="9">
        <v>52</v>
      </c>
      <c r="B56" s="9" t="str">
        <f t="shared" si="0"/>
        <v>C｜体系深化</v>
      </c>
      <c r="C56" s="9" t="s">
        <v>48</v>
      </c>
      <c r="D56" s="10" t="s">
        <v>127</v>
      </c>
      <c r="E56" s="10" t="s">
        <v>128</v>
      </c>
      <c r="F56" s="9">
        <v>5</v>
      </c>
      <c r="G56" s="9">
        <v>5</v>
      </c>
      <c r="H56" s="9">
        <v>5</v>
      </c>
      <c r="I56" s="9">
        <v>5</v>
      </c>
      <c r="J56" s="9">
        <v>3</v>
      </c>
      <c r="K56" s="9">
        <f t="shared" si="1"/>
        <v>96</v>
      </c>
      <c r="L56" s="9" t="s">
        <v>116</v>
      </c>
      <c r="M56" s="9" t="str">
        <f t="shared" si="2"/>
        <v>中后期逐步增加</v>
      </c>
    </row>
    <row r="57" ht="46" customHeight="1" spans="1:13">
      <c r="A57" s="9">
        <v>53</v>
      </c>
      <c r="B57" s="9" t="str">
        <f t="shared" si="0"/>
        <v>C｜体系深化</v>
      </c>
      <c r="C57" s="9" t="s">
        <v>33</v>
      </c>
      <c r="D57" s="10" t="s">
        <v>129</v>
      </c>
      <c r="E57" s="10" t="s">
        <v>130</v>
      </c>
      <c r="F57" s="9">
        <v>5</v>
      </c>
      <c r="G57" s="9">
        <v>5</v>
      </c>
      <c r="H57" s="9">
        <v>5</v>
      </c>
      <c r="I57" s="9">
        <v>5</v>
      </c>
      <c r="J57" s="9">
        <v>5</v>
      </c>
      <c r="K57" s="9">
        <f t="shared" si="1"/>
        <v>100</v>
      </c>
      <c r="L57" s="9" t="s">
        <v>116</v>
      </c>
      <c r="M57" s="9" t="str">
        <f t="shared" si="2"/>
        <v>中后期逐步增加</v>
      </c>
    </row>
    <row r="58" ht="46" customHeight="1" spans="1:13">
      <c r="A58" s="9">
        <v>54</v>
      </c>
      <c r="B58" s="9" t="str">
        <f t="shared" si="0"/>
        <v>C｜体系深化</v>
      </c>
      <c r="C58" s="9" t="s">
        <v>33</v>
      </c>
      <c r="D58" s="10" t="s">
        <v>131</v>
      </c>
      <c r="E58" s="10" t="s">
        <v>132</v>
      </c>
      <c r="F58" s="9">
        <v>5</v>
      </c>
      <c r="G58" s="9">
        <v>5</v>
      </c>
      <c r="H58" s="9">
        <v>5</v>
      </c>
      <c r="I58" s="9">
        <v>5</v>
      </c>
      <c r="J58" s="9">
        <v>5</v>
      </c>
      <c r="K58" s="9">
        <f t="shared" si="1"/>
        <v>100</v>
      </c>
      <c r="L58" s="9" t="s">
        <v>116</v>
      </c>
      <c r="M58" s="9" t="str">
        <f t="shared" si="2"/>
        <v>中后期逐步增加</v>
      </c>
    </row>
    <row r="59" ht="46" customHeight="1" spans="1:13">
      <c r="A59" s="9">
        <v>55</v>
      </c>
      <c r="B59" s="9" t="str">
        <f t="shared" si="0"/>
        <v>C｜体系深化</v>
      </c>
      <c r="C59" s="9" t="s">
        <v>33</v>
      </c>
      <c r="D59" s="10" t="s">
        <v>133</v>
      </c>
      <c r="E59" s="10" t="s">
        <v>134</v>
      </c>
      <c r="F59" s="9">
        <v>4</v>
      </c>
      <c r="G59" s="9">
        <v>5</v>
      </c>
      <c r="H59" s="9">
        <v>5</v>
      </c>
      <c r="I59" s="9">
        <v>5</v>
      </c>
      <c r="J59" s="9">
        <v>5</v>
      </c>
      <c r="K59" s="9">
        <f t="shared" si="1"/>
        <v>94</v>
      </c>
      <c r="L59" s="9" t="s">
        <v>116</v>
      </c>
      <c r="M59" s="9" t="str">
        <f t="shared" si="2"/>
        <v>中后期逐步增加</v>
      </c>
    </row>
    <row r="60" ht="46" customHeight="1" spans="1:13">
      <c r="A60" s="9">
        <v>56</v>
      </c>
      <c r="B60" s="9" t="str">
        <f t="shared" si="0"/>
        <v>C｜体系深化</v>
      </c>
      <c r="C60" s="9" t="s">
        <v>24</v>
      </c>
      <c r="D60" s="10" t="s">
        <v>135</v>
      </c>
      <c r="E60" s="10" t="s">
        <v>136</v>
      </c>
      <c r="F60" s="9">
        <v>5</v>
      </c>
      <c r="G60" s="9">
        <v>5</v>
      </c>
      <c r="H60" s="9">
        <v>5</v>
      </c>
      <c r="I60" s="9">
        <v>5</v>
      </c>
      <c r="J60" s="9">
        <v>5</v>
      </c>
      <c r="K60" s="9">
        <f t="shared" si="1"/>
        <v>100</v>
      </c>
      <c r="L60" s="9" t="s">
        <v>116</v>
      </c>
      <c r="M60" s="9" t="str">
        <f t="shared" si="2"/>
        <v>中后期逐步增加</v>
      </c>
    </row>
    <row r="61" ht="46" customHeight="1" spans="1:13">
      <c r="A61" s="9">
        <v>57</v>
      </c>
      <c r="B61" s="9" t="str">
        <f t="shared" si="0"/>
        <v>C｜体系深化</v>
      </c>
      <c r="C61" s="9" t="s">
        <v>27</v>
      </c>
      <c r="D61" s="10" t="s">
        <v>137</v>
      </c>
      <c r="E61" s="10" t="s">
        <v>138</v>
      </c>
      <c r="F61" s="9">
        <v>4</v>
      </c>
      <c r="G61" s="9">
        <v>5</v>
      </c>
      <c r="H61" s="9">
        <v>5</v>
      </c>
      <c r="I61" s="9">
        <v>5</v>
      </c>
      <c r="J61" s="9">
        <v>5</v>
      </c>
      <c r="K61" s="9">
        <f t="shared" si="1"/>
        <v>94</v>
      </c>
      <c r="L61" s="9" t="s">
        <v>116</v>
      </c>
      <c r="M61" s="9" t="str">
        <f t="shared" si="2"/>
        <v>中后期逐步增加</v>
      </c>
    </row>
    <row r="62" ht="46" customHeight="1" spans="1:13">
      <c r="A62" s="9">
        <v>58</v>
      </c>
      <c r="B62" s="9" t="str">
        <f t="shared" si="0"/>
        <v>C｜体系深化</v>
      </c>
      <c r="C62" s="9" t="s">
        <v>30</v>
      </c>
      <c r="D62" s="10" t="s">
        <v>139</v>
      </c>
      <c r="E62" s="10" t="s">
        <v>140</v>
      </c>
      <c r="F62" s="9">
        <v>4</v>
      </c>
      <c r="G62" s="9">
        <v>5</v>
      </c>
      <c r="H62" s="9">
        <v>5</v>
      </c>
      <c r="I62" s="9">
        <v>5</v>
      </c>
      <c r="J62" s="9">
        <v>5</v>
      </c>
      <c r="K62" s="9">
        <f t="shared" si="1"/>
        <v>94</v>
      </c>
      <c r="L62" s="9" t="s">
        <v>116</v>
      </c>
      <c r="M62" s="9" t="str">
        <f t="shared" si="2"/>
        <v>中后期逐步增加</v>
      </c>
    </row>
    <row r="63" ht="46" customHeight="1" spans="1:13">
      <c r="A63" s="9">
        <v>59</v>
      </c>
      <c r="B63" s="9" t="str">
        <f t="shared" si="0"/>
        <v>C｜体系深化</v>
      </c>
      <c r="C63" s="9" t="s">
        <v>30</v>
      </c>
      <c r="D63" s="10" t="s">
        <v>141</v>
      </c>
      <c r="E63" s="10" t="s">
        <v>142</v>
      </c>
      <c r="F63" s="9">
        <v>4</v>
      </c>
      <c r="G63" s="9">
        <v>5</v>
      </c>
      <c r="H63" s="9">
        <v>5</v>
      </c>
      <c r="I63" s="9">
        <v>5</v>
      </c>
      <c r="J63" s="9">
        <v>5</v>
      </c>
      <c r="K63" s="9">
        <f t="shared" si="1"/>
        <v>94</v>
      </c>
      <c r="L63" s="9" t="s">
        <v>116</v>
      </c>
      <c r="M63" s="9" t="str">
        <f t="shared" si="2"/>
        <v>中后期逐步增加</v>
      </c>
    </row>
    <row r="64" ht="46" customHeight="1" spans="1:13">
      <c r="A64" s="9">
        <v>60</v>
      </c>
      <c r="B64" s="9" t="str">
        <f t="shared" si="0"/>
        <v>C｜体系深化</v>
      </c>
      <c r="C64" s="9" t="s">
        <v>33</v>
      </c>
      <c r="D64" s="10" t="s">
        <v>143</v>
      </c>
      <c r="E64" s="10" t="s">
        <v>144</v>
      </c>
      <c r="F64" s="9">
        <v>5</v>
      </c>
      <c r="G64" s="9">
        <v>5</v>
      </c>
      <c r="H64" s="9">
        <v>5</v>
      </c>
      <c r="I64" s="9">
        <v>5</v>
      </c>
      <c r="J64" s="9">
        <v>4</v>
      </c>
      <c r="K64" s="9">
        <f t="shared" si="1"/>
        <v>98</v>
      </c>
      <c r="L64" s="9" t="s">
        <v>116</v>
      </c>
      <c r="M64" s="9" t="str">
        <f t="shared" si="2"/>
        <v>中后期逐步增加</v>
      </c>
    </row>
    <row r="65" ht="46" customHeight="1" spans="1:13">
      <c r="A65" s="9">
        <v>61</v>
      </c>
      <c r="B65" s="9" t="str">
        <f t="shared" si="0"/>
        <v>C｜体系深化</v>
      </c>
      <c r="C65" s="9" t="s">
        <v>33</v>
      </c>
      <c r="D65" s="10" t="s">
        <v>145</v>
      </c>
      <c r="E65" s="10" t="s">
        <v>146</v>
      </c>
      <c r="F65" s="9">
        <v>5</v>
      </c>
      <c r="G65" s="9">
        <v>5</v>
      </c>
      <c r="H65" s="9">
        <v>5</v>
      </c>
      <c r="I65" s="9">
        <v>5</v>
      </c>
      <c r="J65" s="9">
        <v>5</v>
      </c>
      <c r="K65" s="9">
        <f t="shared" si="1"/>
        <v>100</v>
      </c>
      <c r="L65" s="9" t="s">
        <v>116</v>
      </c>
      <c r="M65" s="9" t="str">
        <f t="shared" si="2"/>
        <v>中后期逐步增加</v>
      </c>
    </row>
    <row r="66" ht="46" customHeight="1" spans="1:13">
      <c r="A66" s="9">
        <v>62</v>
      </c>
      <c r="B66" s="9" t="str">
        <f t="shared" si="0"/>
        <v>C｜体系深化</v>
      </c>
      <c r="C66" s="9" t="s">
        <v>48</v>
      </c>
      <c r="D66" s="10" t="s">
        <v>147</v>
      </c>
      <c r="E66" s="10" t="s">
        <v>148</v>
      </c>
      <c r="F66" s="9">
        <v>4</v>
      </c>
      <c r="G66" s="9">
        <v>4</v>
      </c>
      <c r="H66" s="9">
        <v>5</v>
      </c>
      <c r="I66" s="9">
        <v>4</v>
      </c>
      <c r="J66" s="9">
        <v>4</v>
      </c>
      <c r="K66" s="9">
        <f t="shared" si="1"/>
        <v>84</v>
      </c>
      <c r="L66" s="9" t="s">
        <v>116</v>
      </c>
      <c r="M66" s="9" t="str">
        <f t="shared" si="2"/>
        <v>中后期逐步增加</v>
      </c>
    </row>
    <row r="67" ht="46" customHeight="1" spans="1:13">
      <c r="A67" s="9">
        <v>63</v>
      </c>
      <c r="B67" s="9" t="str">
        <f t="shared" si="0"/>
        <v>C｜体系深化</v>
      </c>
      <c r="C67" s="9" t="s">
        <v>48</v>
      </c>
      <c r="D67" s="10" t="s">
        <v>149</v>
      </c>
      <c r="E67" s="10" t="s">
        <v>150</v>
      </c>
      <c r="F67" s="9">
        <v>4</v>
      </c>
      <c r="G67" s="9">
        <v>4</v>
      </c>
      <c r="H67" s="9">
        <v>5</v>
      </c>
      <c r="I67" s="9">
        <v>4</v>
      </c>
      <c r="J67" s="9">
        <v>5</v>
      </c>
      <c r="K67" s="9">
        <f t="shared" si="1"/>
        <v>86</v>
      </c>
      <c r="L67" s="9" t="s">
        <v>116</v>
      </c>
      <c r="M67" s="9" t="str">
        <f t="shared" si="2"/>
        <v>中后期逐步增加</v>
      </c>
    </row>
    <row r="68" ht="46" customHeight="1" spans="1:13">
      <c r="A68" s="9">
        <v>64</v>
      </c>
      <c r="B68" s="9" t="str">
        <f t="shared" si="0"/>
        <v>C｜体系深化</v>
      </c>
      <c r="C68" s="9" t="s">
        <v>27</v>
      </c>
      <c r="D68" s="10" t="s">
        <v>151</v>
      </c>
      <c r="E68" s="10" t="s">
        <v>152</v>
      </c>
      <c r="F68" s="9">
        <v>4</v>
      </c>
      <c r="G68" s="9">
        <v>5</v>
      </c>
      <c r="H68" s="9">
        <v>5</v>
      </c>
      <c r="I68" s="9">
        <v>5</v>
      </c>
      <c r="J68" s="9">
        <v>5</v>
      </c>
      <c r="K68" s="9">
        <f t="shared" si="1"/>
        <v>94</v>
      </c>
      <c r="L68" s="9" t="s">
        <v>116</v>
      </c>
      <c r="M68" s="9" t="str">
        <f t="shared" si="2"/>
        <v>中后期逐步增加</v>
      </c>
    </row>
    <row r="69" ht="46" customHeight="1" spans="1:13">
      <c r="A69" s="9">
        <v>65</v>
      </c>
      <c r="B69" s="9" t="str">
        <f t="shared" ref="B69:B74" si="3">IF(A69&lt;=20,"A｜前期核心",IF(A69&lt;=45,"B｜中段建设","C｜体系深化"))</f>
        <v>C｜体系深化</v>
      </c>
      <c r="C69" s="9" t="s">
        <v>27</v>
      </c>
      <c r="D69" s="10" t="s">
        <v>153</v>
      </c>
      <c r="E69" s="10" t="s">
        <v>154</v>
      </c>
      <c r="F69" s="9">
        <v>4</v>
      </c>
      <c r="G69" s="9">
        <v>5</v>
      </c>
      <c r="H69" s="9">
        <v>5</v>
      </c>
      <c r="I69" s="9">
        <v>5</v>
      </c>
      <c r="J69" s="9">
        <v>5</v>
      </c>
      <c r="K69" s="9">
        <f t="shared" ref="K69:K74" si="4">F69*6+G69*5+H69*4+I69*3+J69*2</f>
        <v>94</v>
      </c>
      <c r="L69" s="9" t="s">
        <v>116</v>
      </c>
      <c r="M69" s="9" t="str">
        <f t="shared" ref="M69:M74" si="5">IF(A69&lt;=20,"前期高频测试",IF(A69&lt;=45,"前中期穿插","中后期逐步增加"))</f>
        <v>中后期逐步增加</v>
      </c>
    </row>
    <row r="70" ht="46" customHeight="1" spans="1:13">
      <c r="A70" s="9">
        <v>66</v>
      </c>
      <c r="B70" s="9" t="str">
        <f t="shared" si="3"/>
        <v>C｜体系深化</v>
      </c>
      <c r="C70" s="9" t="s">
        <v>24</v>
      </c>
      <c r="D70" s="10" t="s">
        <v>155</v>
      </c>
      <c r="E70" s="10" t="s">
        <v>156</v>
      </c>
      <c r="F70" s="9">
        <v>5</v>
      </c>
      <c r="G70" s="9">
        <v>5</v>
      </c>
      <c r="H70" s="9">
        <v>5</v>
      </c>
      <c r="I70" s="9">
        <v>5</v>
      </c>
      <c r="J70" s="9">
        <v>5</v>
      </c>
      <c r="K70" s="9">
        <f t="shared" si="4"/>
        <v>100</v>
      </c>
      <c r="L70" s="9" t="s">
        <v>116</v>
      </c>
      <c r="M70" s="9" t="str">
        <f t="shared" si="5"/>
        <v>中后期逐步增加</v>
      </c>
    </row>
    <row r="71" ht="46" customHeight="1" spans="1:13">
      <c r="A71" s="9">
        <v>67</v>
      </c>
      <c r="B71" s="9" t="str">
        <f t="shared" si="3"/>
        <v>C｜体系深化</v>
      </c>
      <c r="C71" s="9" t="s">
        <v>19</v>
      </c>
      <c r="D71" s="10" t="s">
        <v>157</v>
      </c>
      <c r="E71" s="10" t="s">
        <v>158</v>
      </c>
      <c r="F71" s="9">
        <v>5</v>
      </c>
      <c r="G71" s="9">
        <v>5</v>
      </c>
      <c r="H71" s="9">
        <v>5</v>
      </c>
      <c r="I71" s="9">
        <v>4</v>
      </c>
      <c r="J71" s="9">
        <v>3</v>
      </c>
      <c r="K71" s="9">
        <f t="shared" si="4"/>
        <v>93</v>
      </c>
      <c r="L71" s="9" t="s">
        <v>116</v>
      </c>
      <c r="M71" s="9" t="str">
        <f t="shared" si="5"/>
        <v>中后期逐步增加</v>
      </c>
    </row>
    <row r="72" ht="46" customHeight="1" spans="1:13">
      <c r="A72" s="9">
        <v>68</v>
      </c>
      <c r="B72" s="9" t="str">
        <f t="shared" si="3"/>
        <v>C｜体系深化</v>
      </c>
      <c r="C72" s="9" t="s">
        <v>48</v>
      </c>
      <c r="D72" s="10" t="s">
        <v>159</v>
      </c>
      <c r="E72" s="10" t="s">
        <v>160</v>
      </c>
      <c r="F72" s="9">
        <v>4</v>
      </c>
      <c r="G72" s="9">
        <v>4</v>
      </c>
      <c r="H72" s="9">
        <v>4</v>
      </c>
      <c r="I72" s="9">
        <v>4</v>
      </c>
      <c r="J72" s="9">
        <v>3</v>
      </c>
      <c r="K72" s="9">
        <f t="shared" si="4"/>
        <v>78</v>
      </c>
      <c r="L72" s="9" t="s">
        <v>116</v>
      </c>
      <c r="M72" s="9" t="str">
        <f t="shared" si="5"/>
        <v>中后期逐步增加</v>
      </c>
    </row>
    <row r="73" ht="46" customHeight="1" spans="1:13">
      <c r="A73" s="9">
        <v>69</v>
      </c>
      <c r="B73" s="9" t="str">
        <f t="shared" si="3"/>
        <v>C｜体系深化</v>
      </c>
      <c r="C73" s="9" t="s">
        <v>15</v>
      </c>
      <c r="D73" s="10" t="s">
        <v>161</v>
      </c>
      <c r="E73" s="10" t="s">
        <v>162</v>
      </c>
      <c r="F73" s="9">
        <v>4</v>
      </c>
      <c r="G73" s="9">
        <v>4</v>
      </c>
      <c r="H73" s="9">
        <v>5</v>
      </c>
      <c r="I73" s="9">
        <v>4</v>
      </c>
      <c r="J73" s="9">
        <v>4</v>
      </c>
      <c r="K73" s="9">
        <f t="shared" si="4"/>
        <v>84</v>
      </c>
      <c r="L73" s="9" t="s">
        <v>116</v>
      </c>
      <c r="M73" s="9" t="str">
        <f t="shared" si="5"/>
        <v>中后期逐步增加</v>
      </c>
    </row>
    <row r="74" ht="46" customHeight="1" spans="1:13">
      <c r="A74" s="9">
        <v>70</v>
      </c>
      <c r="B74" s="9" t="str">
        <f t="shared" si="3"/>
        <v>C｜体系深化</v>
      </c>
      <c r="C74" s="9" t="s">
        <v>30</v>
      </c>
      <c r="D74" s="10" t="s">
        <v>163</v>
      </c>
      <c r="E74" s="10" t="s">
        <v>164</v>
      </c>
      <c r="F74" s="9">
        <v>4</v>
      </c>
      <c r="G74" s="9">
        <v>5</v>
      </c>
      <c r="H74" s="9">
        <v>5</v>
      </c>
      <c r="I74" s="9">
        <v>5</v>
      </c>
      <c r="J74" s="9">
        <v>4</v>
      </c>
      <c r="K74" s="9">
        <f t="shared" si="4"/>
        <v>92</v>
      </c>
      <c r="L74" s="9" t="s">
        <v>116</v>
      </c>
      <c r="M74" s="9" t="str">
        <f t="shared" si="5"/>
        <v>中后期逐步增加</v>
      </c>
    </row>
  </sheetData>
  <mergeCells count="2">
    <mergeCell ref="A1:M1"/>
    <mergeCell ref="A2:M2"/>
  </mergeCells>
  <conditionalFormatting sqref="A5:A74"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{fcb38f8d-4d7d-4b57-90d0-c040e6315bf4}</x14:id>
        </ext>
      </extLst>
    </cfRule>
  </conditionalFormatting>
  <conditionalFormatting sqref="K5:K74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b38f8d-4d7d-4b57-90d0-c040e6315bf4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A5:A74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1" sqref="A1:H1"/>
    </sheetView>
  </sheetViews>
  <sheetFormatPr defaultColWidth="9" defaultRowHeight="16.8"/>
  <cols>
    <col min="1" max="2" width="20" customWidth="1"/>
    <col min="4" max="4" width="12" customWidth="1"/>
    <col min="5" max="5" width="10" customWidth="1"/>
    <col min="6" max="6" width="14" customWidth="1"/>
    <col min="7" max="9" width="10" customWidth="1"/>
  </cols>
  <sheetData>
    <row r="1" ht="30" customHeight="1" spans="1:9">
      <c r="A1" s="5" t="s">
        <v>165</v>
      </c>
      <c r="B1" s="5"/>
      <c r="C1" s="5"/>
      <c r="D1" s="5"/>
      <c r="E1" s="5"/>
      <c r="F1" s="5"/>
      <c r="G1" s="5"/>
      <c r="H1" s="5"/>
    </row>
    <row r="3" ht="17" spans="1:9">
      <c r="A3" s="2" t="s">
        <v>166</v>
      </c>
      <c r="B3" s="2" t="s">
        <v>167</v>
      </c>
      <c r="D3" s="2" t="s">
        <v>4</v>
      </c>
      <c r="E3" s="2" t="s">
        <v>168</v>
      </c>
      <c r="F3" s="2" t="s">
        <v>169</v>
      </c>
      <c r="G3" s="2" t="s">
        <v>170</v>
      </c>
      <c r="H3" s="2" t="s">
        <v>171</v>
      </c>
      <c r="I3" s="2" t="s">
        <v>172</v>
      </c>
    </row>
    <row r="4" ht="17" spans="1:9">
      <c r="A4" s="4" t="s">
        <v>7</v>
      </c>
      <c r="B4" s="4" t="s">
        <v>173</v>
      </c>
      <c r="D4" s="3" t="s">
        <v>48</v>
      </c>
      <c r="E4" s="3">
        <f>COUNTIF(优先级总表!$C$5:$C$74,D4)</f>
        <v>10</v>
      </c>
      <c r="F4" s="3">
        <f>AVERAGEIF(优先级总表!$C$5:$C$74,D4,优先级总表!$K$5:$K$74)</f>
        <v>88.3</v>
      </c>
      <c r="G4" s="3">
        <f>COUNTIFS(优先级总表!$C$5:$C$74,D4,优先级总表!$B$5:$B$74,"A*")</f>
        <v>1</v>
      </c>
      <c r="H4" s="3">
        <f>COUNTIFS(优先级总表!$C$5:$C$74,D4,优先级总表!$B$5:$B$74,"B*")</f>
        <v>1</v>
      </c>
      <c r="I4" s="3">
        <f>COUNTIFS(优先级总表!$C$5:$C$74,D4,优先级总表!$B$5:$B$74,"C*")</f>
        <v>8</v>
      </c>
    </row>
    <row r="5" ht="17" spans="1:9">
      <c r="A5" s="4" t="s">
        <v>8</v>
      </c>
      <c r="B5" s="4" t="s">
        <v>174</v>
      </c>
      <c r="D5" s="3" t="s">
        <v>19</v>
      </c>
      <c r="E5" s="3">
        <f>COUNTIF(优先级总表!$C$5:$C$74,D5)</f>
        <v>10</v>
      </c>
      <c r="F5" s="3">
        <f>AVERAGEIF(优先级总表!$C$5:$C$74,D5,优先级总表!$K$5:$K$74)</f>
        <v>92.9</v>
      </c>
      <c r="G5" s="3">
        <f>COUNTIFS(优先级总表!$C$5:$C$74,D5,优先级总表!$B$5:$B$74,"A*")</f>
        <v>4</v>
      </c>
      <c r="H5" s="3">
        <f>COUNTIFS(优先级总表!$C$5:$C$74,D5,优先级总表!$B$5:$B$74,"B*")</f>
        <v>3</v>
      </c>
      <c r="I5" s="3">
        <f>COUNTIFS(优先级总表!$C$5:$C$74,D5,优先级总表!$B$5:$B$74,"C*")</f>
        <v>3</v>
      </c>
    </row>
    <row r="6" ht="17" spans="1:9">
      <c r="A6" s="4" t="s">
        <v>175</v>
      </c>
      <c r="B6" s="4" t="s">
        <v>176</v>
      </c>
      <c r="D6" s="3" t="s">
        <v>15</v>
      </c>
      <c r="E6" s="3">
        <f>COUNTIF(优先级总表!$C$5:$C$74,D6)</f>
        <v>10</v>
      </c>
      <c r="F6" s="3">
        <f>AVERAGEIF(优先级总表!$C$5:$C$74,D6,优先级总表!$K$5:$K$74)</f>
        <v>96.7</v>
      </c>
      <c r="G6" s="3">
        <f>COUNTIFS(优先级总表!$C$5:$C$74,D6,优先级总表!$B$5:$B$74,"A*")</f>
        <v>4</v>
      </c>
      <c r="H6" s="3">
        <f>COUNTIFS(优先级总表!$C$5:$C$74,D6,优先级总表!$B$5:$B$74,"B*")</f>
        <v>5</v>
      </c>
      <c r="I6" s="3">
        <f>COUNTIFS(优先级总表!$C$5:$C$74,D6,优先级总表!$B$5:$B$74,"C*")</f>
        <v>1</v>
      </c>
    </row>
    <row r="7" ht="17" spans="1:9">
      <c r="A7" s="4" t="s">
        <v>177</v>
      </c>
      <c r="B7" s="4" t="s">
        <v>178</v>
      </c>
      <c r="D7" s="3" t="s">
        <v>24</v>
      </c>
      <c r="E7" s="3">
        <f>COUNTIF(优先级总表!$C$5:$C$74,D7)</f>
        <v>10</v>
      </c>
      <c r="F7" s="3">
        <f>AVERAGEIF(优先级总表!$C$5:$C$74,D7,优先级总表!$K$5:$K$74)</f>
        <v>99.1</v>
      </c>
      <c r="G7" s="3">
        <f>COUNTIFS(优先级总表!$C$5:$C$74,D7,优先级总表!$B$5:$B$74,"A*")</f>
        <v>4</v>
      </c>
      <c r="H7" s="3">
        <f>COUNTIFS(优先级总表!$C$5:$C$74,D7,优先级总表!$B$5:$B$74,"B*")</f>
        <v>4</v>
      </c>
      <c r="I7" s="3">
        <f>COUNTIFS(优先级总表!$C$5:$C$74,D7,优先级总表!$B$5:$B$74,"C*")</f>
        <v>2</v>
      </c>
    </row>
    <row r="8" ht="17" spans="1:9">
      <c r="A8" s="4" t="s">
        <v>11</v>
      </c>
      <c r="B8" s="4" t="s">
        <v>179</v>
      </c>
      <c r="D8" s="3" t="s">
        <v>27</v>
      </c>
      <c r="E8" s="3">
        <f>COUNTIF(优先级总表!$C$5:$C$74,D8)</f>
        <v>10</v>
      </c>
      <c r="F8" s="3">
        <f>AVERAGEIF(优先级总表!$C$5:$C$74,D8,优先级总表!$K$5:$K$74)</f>
        <v>97.4</v>
      </c>
      <c r="G8" s="3">
        <f>COUNTIFS(优先级总表!$C$5:$C$74,D8,优先级总表!$B$5:$B$74,"A*")</f>
        <v>3</v>
      </c>
      <c r="H8" s="3">
        <f>COUNTIFS(优先级总表!$C$5:$C$74,D8,优先级总表!$B$5:$B$74,"B*")</f>
        <v>4</v>
      </c>
      <c r="I8" s="3">
        <f>COUNTIFS(优先级总表!$C$5:$C$74,D8,优先级总表!$B$5:$B$74,"C*")</f>
        <v>3</v>
      </c>
    </row>
    <row r="9" ht="17" spans="1:9">
      <c r="D9" s="3" t="s">
        <v>30</v>
      </c>
      <c r="E9" s="3">
        <f>COUNTIF(优先级总表!$C$5:$C$74,D9)</f>
        <v>10</v>
      </c>
      <c r="F9" s="3">
        <f>AVERAGEIF(优先级总表!$C$5:$C$74,D9,优先级总表!$K$5:$K$74)</f>
        <v>97.8</v>
      </c>
      <c r="G9" s="3">
        <f>COUNTIFS(优先级总表!$C$5:$C$74,D9,优先级总表!$B$5:$B$74,"A*")</f>
        <v>2</v>
      </c>
      <c r="H9" s="3">
        <f>COUNTIFS(优先级总表!$C$5:$C$74,D9,优先级总表!$B$5:$B$74,"B*")</f>
        <v>5</v>
      </c>
      <c r="I9" s="3">
        <f>COUNTIFS(优先级总表!$C$5:$C$74,D9,优先级总表!$B$5:$B$74,"C*")</f>
        <v>3</v>
      </c>
    </row>
    <row r="10" ht="17" spans="1:9">
      <c r="D10" s="3" t="s">
        <v>33</v>
      </c>
      <c r="E10" s="3">
        <f>COUNTIF(优先级总表!$C$5:$C$74,D10)</f>
        <v>10</v>
      </c>
      <c r="F10" s="3">
        <f>AVERAGEIF(优先级总表!$C$5:$C$74,D10,优先级总表!$K$5:$K$74)</f>
        <v>99</v>
      </c>
      <c r="G10" s="3">
        <f>COUNTIFS(优先级总表!$C$5:$C$74,D10,优先级总表!$B$5:$B$74,"A*")</f>
        <v>2</v>
      </c>
      <c r="H10" s="3">
        <f>COUNTIFS(优先级总表!$C$5:$C$74,D10,优先级总表!$B$5:$B$74,"B*")</f>
        <v>3</v>
      </c>
      <c r="I10" s="3">
        <f>COUNTIFS(优先级总表!$C$5:$C$74,D10,优先级总表!$B$5:$B$74,"C*")</f>
        <v>5</v>
      </c>
    </row>
    <row r="11" spans="1:9">
      <c r="A11" s="6" t="s">
        <v>180</v>
      </c>
      <c r="B11" s="6"/>
      <c r="C11" s="6"/>
      <c r="D11" s="6"/>
      <c r="E11" s="6"/>
      <c r="F11" s="6"/>
      <c r="G11" s="6"/>
      <c r="H11" s="6"/>
    </row>
    <row r="12" spans="1:9">
      <c r="A12" s="6"/>
      <c r="B12" s="6"/>
      <c r="C12" s="6"/>
      <c r="D12" s="6"/>
      <c r="E12" s="6"/>
      <c r="F12" s="6"/>
      <c r="G12" s="6"/>
      <c r="H12" s="6"/>
    </row>
    <row r="13" spans="1:9">
      <c r="A13" s="6"/>
      <c r="B13" s="6"/>
      <c r="C13" s="6"/>
      <c r="D13" s="6"/>
      <c r="E13" s="6"/>
      <c r="F13" s="6"/>
      <c r="G13" s="6"/>
      <c r="H13" s="6"/>
    </row>
    <row r="14" spans="1:9">
      <c r="A14" s="6"/>
      <c r="B14" s="6"/>
      <c r="C14" s="6"/>
      <c r="D14" s="6"/>
      <c r="E14" s="6"/>
      <c r="F14" s="6"/>
      <c r="G14" s="6"/>
      <c r="H14" s="6"/>
    </row>
  </sheetData>
  <mergeCells count="2">
    <mergeCell ref="A1:H1"/>
    <mergeCell ref="A11:H14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:D1"/>
    </sheetView>
  </sheetViews>
  <sheetFormatPr defaultColWidth="9" defaultRowHeight="16.8" outlineLevelCol="3"/>
  <cols>
    <col min="1" max="1" width="8" customWidth="1"/>
    <col min="2" max="2" width="10" customWidth="1"/>
    <col min="3" max="3" width="38" customWidth="1"/>
    <col min="4" max="4" width="44" customWidth="1"/>
  </cols>
  <sheetData>
    <row r="1" ht="23.2" spans="1:4">
      <c r="A1" s="1" t="s">
        <v>181</v>
      </c>
      <c r="B1" s="1"/>
      <c r="C1" s="1"/>
      <c r="D1" s="1"/>
    </row>
    <row r="3" ht="17" spans="1:4">
      <c r="A3" s="2" t="s">
        <v>182</v>
      </c>
      <c r="B3" s="2" t="s">
        <v>4</v>
      </c>
      <c r="C3" s="2" t="s">
        <v>183</v>
      </c>
      <c r="D3" s="2" t="s">
        <v>184</v>
      </c>
    </row>
    <row r="4" ht="46" customHeight="1" spans="1:4">
      <c r="A4" s="3">
        <v>1</v>
      </c>
      <c r="B4" s="4" t="s">
        <v>48</v>
      </c>
      <c r="C4" s="4" t="s">
        <v>185</v>
      </c>
      <c r="D4" s="4" t="s">
        <v>186</v>
      </c>
    </row>
    <row r="5" ht="46" customHeight="1" spans="1:4">
      <c r="A5" s="3">
        <v>2</v>
      </c>
      <c r="B5" s="4" t="s">
        <v>19</v>
      </c>
      <c r="C5" s="4" t="s">
        <v>187</v>
      </c>
      <c r="D5" s="4" t="s">
        <v>188</v>
      </c>
    </row>
    <row r="6" ht="46" customHeight="1" spans="1:4">
      <c r="A6" s="3">
        <v>3</v>
      </c>
      <c r="B6" s="4" t="s">
        <v>15</v>
      </c>
      <c r="C6" s="4" t="s">
        <v>189</v>
      </c>
      <c r="D6" s="4" t="s">
        <v>190</v>
      </c>
    </row>
    <row r="7" ht="46" customHeight="1" spans="1:4">
      <c r="A7" s="3">
        <v>4</v>
      </c>
      <c r="B7" s="4" t="s">
        <v>24</v>
      </c>
      <c r="C7" s="4" t="s">
        <v>191</v>
      </c>
      <c r="D7" s="4" t="s">
        <v>192</v>
      </c>
    </row>
    <row r="8" ht="46" customHeight="1" spans="1:4">
      <c r="A8" s="3">
        <v>5</v>
      </c>
      <c r="B8" s="4" t="s">
        <v>27</v>
      </c>
      <c r="C8" s="4" t="s">
        <v>193</v>
      </c>
      <c r="D8" s="4" t="s">
        <v>194</v>
      </c>
    </row>
    <row r="9" ht="46" customHeight="1" spans="1:4">
      <c r="A9" s="3">
        <v>6</v>
      </c>
      <c r="B9" s="4" t="s">
        <v>30</v>
      </c>
      <c r="C9" s="4" t="s">
        <v>195</v>
      </c>
      <c r="D9" s="4" t="s">
        <v>196</v>
      </c>
    </row>
    <row r="10" ht="46" customHeight="1" spans="1:4">
      <c r="A10" s="3">
        <v>7</v>
      </c>
      <c r="B10" s="4" t="s">
        <v>33</v>
      </c>
      <c r="C10" s="4" t="s">
        <v>197</v>
      </c>
      <c r="D10" s="4" t="s">
        <v>198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优先级总表</vt:lpstr>
      <vt:lpstr>运营总览</vt:lpstr>
      <vt:lpstr>系列说明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WPS_1788330618</cp:lastModifiedBy>
  <dcterms:created xsi:type="dcterms:W3CDTF">2026-09-22T15:46:52Z</dcterms:created>
  <dcterms:modified xsi:type="dcterms:W3CDTF">2026-09-22T15:48:36Z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9C08CE38A24FFE0CD432B26A628A1ABD_42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