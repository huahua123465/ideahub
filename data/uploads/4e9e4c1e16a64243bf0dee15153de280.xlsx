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c75d455e5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先级总表" sheetId="1" r:id="Recdd17b0e3694af5"/>
    <x:sheet xmlns:r="http://schemas.openxmlformats.org/officeDocument/2006/relationships" name="运营总览" sheetId="2" r:id="R07594d1bc86344e1"/>
    <x:sheet xmlns:r="http://schemas.openxmlformats.org/officeDocument/2006/relationships" name="系列说明" sheetId="3" r:id="R42dff306e723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4c44b58fb4a9b" /><Relationship Type="http://schemas.openxmlformats.org/officeDocument/2006/relationships/theme" Target="/xl/theme/theme1.xml" Id="R9a1504a806bf4df8" /><Relationship Type="http://schemas.openxmlformats.org/officeDocument/2006/relationships/sharedStrings" Target="/xl/sharedStrings.xml" Id="Rd697e1c7dc3d4f37" /><Relationship Type="http://schemas.openxmlformats.org/officeDocument/2006/relationships/worksheet" Target="/xl/worksheets/sheet1.xml" Id="Recdd17b0e3694af5" /><Relationship Type="http://schemas.openxmlformats.org/officeDocument/2006/relationships/worksheet" Target="/xl/worksheets/sheet2.xml" Id="R07594d1bc86344e1" /><Relationship Type="http://schemas.openxmlformats.org/officeDocument/2006/relationships/worksheet" Target="/xl/worksheets/sheet3.xml" Id="R42dff306e72345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b1362994cf4e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各系列平均综合分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选题数</c:v>
          </c:tx>
          <c:cat>
            <c:strRef>
              <c:f>'运营总览'!$D$4:$D$10</c:f>
              <c:strCache>
                <c:ptCount val="0"/>
              </c:strCache>
            </c:strRef>
          </c:cat>
          <c:val>
            <c:numRef>
              <c:f>'运营总览'!$E$4:$E$10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平均综合分</c:v>
          </c:tx>
          <c:cat>
            <c:strRef>
              <c:f>'运营总览'!$D$4:$D$10</c:f>
              <c:strCache>
                <c:ptCount val="0"/>
              </c:strCache>
            </c:strRef>
          </c:cat>
          <c:val>
            <c:numRef>
              <c:f>'运营总览'!$F$4:$F$10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b1362994cf4e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icPriorityTable" displayName="TopicPriorityTable" ref="A4:M74" headerRowCount="1" totalsRowCount="0" totalsRowShown="0">
  <x:tableColumns count="13">
    <x:tableColumn id="1" name="长期运营顺序"/>
    <x:tableColumn id="2" name="优先级等级"/>
    <x:tableColumn id="3" name="系列"/>
    <x:tableColumn id="4" name="具体问题"/>
    <x:tableColumn id="5" name="标题"/>
    <x:tableColumn id="6" name="流量入口"/>
    <x:tableColumn id="7" name="涨粉潜力"/>
    <x:tableColumn id="8" name="认知建立"/>
    <x:tableColumn id="9" name="系列延展"/>
    <x:tableColumn id="10" name="商业衔接"/>
    <x:tableColumn id="11" name="综合分"/>
    <x:tableColumn id="12" name="推荐用途"/>
    <x:tableColumn id="13" name="阶段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46b449c95346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d85467d38ed449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38" hidden="0" customWidth="1"/>
    <x:col min="5" max="5" width="4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6" hidden="0" customWidth="1"/>
    <x:col min="13" max="13" width="16" hidden="0" customWidth="1"/>
  </x:cols>
  <x:sheetData>
    <x:row r="1" ht="30" customHeight="1">
      <x:c r="A1" s="5" t="str">
        <x:v>长期账号系列选题优先级（70条）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排序为长期运营战略顺序；综合分用于辅助判断。权重：流量入口30%｜涨粉25%｜账号认知20%｜系列延展15%｜商业衔接10%。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8" customHeight="1">
      <x:c r="A4" s="22" t="str">
        <x:v>长期运营顺序</x:v>
      </x:c>
      <x:c r="B4" s="22" t="str">
        <x:v>优先级等级</x:v>
      </x:c>
      <x:c r="C4" s="22" t="str">
        <x:v>系列</x:v>
      </x:c>
      <x:c r="D4" s="22" t="str">
        <x:v>具体问题</x:v>
      </x:c>
      <x:c r="E4" s="22" t="str">
        <x:v>标题</x:v>
      </x:c>
      <x:c r="F4" s="22" t="str">
        <x:v>流量入口</x:v>
      </x:c>
      <x:c r="G4" s="22" t="str">
        <x:v>涨粉潜力</x:v>
      </x:c>
      <x:c r="H4" s="22" t="str">
        <x:v>认知建立</x:v>
      </x:c>
      <x:c r="I4" s="22" t="str">
        <x:v>系列延展</x:v>
      </x:c>
      <x:c r="J4" s="22" t="str">
        <x:v>商业衔接</x:v>
      </x:c>
      <x:c r="K4" s="22" t="str">
        <x:v>综合分</x:v>
      </x:c>
      <x:c r="L4" s="22" t="str">
        <x:v>推荐用途</x:v>
      </x:c>
      <x:c r="M4" s="22" t="str">
        <x:v>阶段建议</x:v>
      </x:c>
    </x:row>
    <x:row r="5" ht="46" customHeight="1">
      <x:c r="A5" s="32" t="n">
        <x:v>1</x:v>
      </x:c>
      <x:c r="B5" s="32" t="str">
        <x:f>IF(A5&lt;=20,"A｜前期核心",IF(A5&lt;=45,"B｜中段建设","C｜体系深化"))</x:f>
        <x:v>A｜前期核心</x:v>
      </x:c>
      <x:c r="C5" s="32" t="str">
        <x:v>认知</x:v>
      </x:c>
      <x:c r="D5" s="30" t="str">
        <x:v>为什么分析别人的关系容易，分析自己的关系却容易失准？</x:v>
      </x:c>
      <x:c r="E5" s="30" t="str">
        <x:v>为什么别人的关系你一眼就能看懂，轮到自己却总有无数种解释？</x:v>
      </x:c>
      <x:c r="F5" s="32" t="n">
        <x:v>5</x:v>
      </x:c>
      <x:c r="G5" s="32" t="n">
        <x:v>5</x:v>
      </x:c>
      <x:c r="H5" s="32" t="n">
        <x:v>5</x:v>
      </x:c>
      <x:c r="I5" s="32" t="n">
        <x:v>5</x:v>
      </x:c>
      <x:c r="J5" s="32" t="n">
        <x:v>4</x:v>
      </x:c>
      <x:c r="K5" s="32" t="n">
        <x:f>F5*6+G5*5+H5*4+I5*3+J5*2</x:f>
        <x:v>98</x:v>
      </x:c>
      <x:c r="L5" s="32" t="str">
        <x:v>流量+涨粉核心</x:v>
      </x:c>
      <x:c r="M5" s="32" t="str">
        <x:f>IF(A5&lt;=20,"前期高频测试",IF(A5&lt;=45,"前中期穿插","中后期逐步增加"))</x:f>
        <x:v>前期高频测试</x:v>
      </x:c>
    </x:row>
    <x:row r="6" ht="46" customHeight="1">
      <x:c r="A6" s="32" t="n">
        <x:v>2</x:v>
      </x:c>
      <x:c r="B6" s="32" t="str">
        <x:f>IF(A6&lt;=20,"A｜前期核心",IF(A6&lt;=45,"B｜中段建设","C｜体系深化"))</x:f>
        <x:v>A｜前期核心</x:v>
      </x:c>
      <x:c r="C6" s="32" t="str">
        <x:v>吸引</x:v>
      </x:c>
      <x:c r="D6" s="30" t="str">
        <x:v>为什么理性标准和实际吸引经常不完全一致？</x:v>
      </x:c>
      <x:c r="E6" s="30" t="str">
        <x:v>为什么一个人越符合你的标准，你反而越可能没有感觉？</x:v>
      </x:c>
      <x:c r="F6" s="32" t="n">
        <x:v>5</x:v>
      </x:c>
      <x:c r="G6" s="32" t="n">
        <x:v>5</x:v>
      </x:c>
      <x:c r="H6" s="32" t="n">
        <x:v>4</x:v>
      </x:c>
      <x:c r="I6" s="32" t="n">
        <x:v>4</x:v>
      </x:c>
      <x:c r="J6" s="32" t="n">
        <x:v>3</x:v>
      </x:c>
      <x:c r="K6" s="32" t="n">
        <x:f>F6*6+G6*5+H6*4+I6*3+J6*2</x:f>
        <x:v>89</x:v>
      </x:c>
      <x:c r="L6" s="32" t="str">
        <x:v>流量+涨粉核心</x:v>
      </x:c>
      <x:c r="M6" s="32" t="str">
        <x:f>IF(A6&lt;=20,"前期高频测试",IF(A6&lt;=45,"前中期穿插","中后期逐步增加"))</x:f>
        <x:v>前期高频测试</x:v>
      </x:c>
    </x:row>
    <x:row r="7" ht="46" customHeight="1">
      <x:c r="A7" s="32" t="n">
        <x:v>3</x:v>
      </x:c>
      <x:c r="B7" s="32" t="str">
        <x:f>IF(A7&lt;=20,"A｜前期核心",IF(A7&lt;=45,"B｜中段建设","C｜体系深化"))</x:f>
        <x:v>A｜前期核心</x:v>
      </x:c>
      <x:c r="C7" s="32" t="str">
        <x:v>吸引</x:v>
      </x:c>
      <x:c r="D7" s="30" t="str">
        <x:v>为什么不确定性容易持续占据注意力？</x:v>
      </x:c>
      <x:c r="E7" s="30" t="str">
        <x:v>让人反复想起一个人的，究竟是喜欢，还是一直没有得到答案？</x:v>
      </x:c>
      <x:c r="F7" s="32" t="n">
        <x:v>5</x:v>
      </x:c>
      <x:c r="G7" s="32" t="n">
        <x:v>5</x:v>
      </x:c>
      <x:c r="H7" s="32" t="n">
        <x:v>5</x:v>
      </x:c>
      <x:c r="I7" s="32" t="n">
        <x:v>5</x:v>
      </x:c>
      <x:c r="J7" s="32" t="n">
        <x:v>4</x:v>
      </x:c>
      <x:c r="K7" s="32" t="n">
        <x:f>F7*6+G7*5+H7*4+I7*3+J7*2</x:f>
        <x:v>98</x:v>
      </x:c>
      <x:c r="L7" s="32" t="str">
        <x:v>流量+涨粉核心</x:v>
      </x:c>
      <x:c r="M7" s="32" t="str">
        <x:f>IF(A7&lt;=20,"前期高频测试",IF(A7&lt;=45,"前中期穿插","中后期逐步增加"))</x:f>
        <x:v>前期高频测试</x:v>
      </x:c>
    </x:row>
    <x:row r="8" ht="46" customHeight="1">
      <x:c r="A8" s="32" t="n">
        <x:v>4</x:v>
      </x:c>
      <x:c r="B8" s="32" t="str">
        <x:f>IF(A8&lt;=20,"A｜前期核心",IF(A8&lt;=45,"B｜中段建设","C｜体系深化"))</x:f>
        <x:v>A｜前期核心</x:v>
      </x:c>
      <x:c r="C8" s="32" t="str">
        <x:v>互动</x:v>
      </x:c>
      <x:c r="D8" s="30" t="str">
        <x:v>为什么双方每一个行为单独看都合理，组合起来却可能出现坏结果？</x:v>
      </x:c>
      <x:c r="E8" s="30" t="str">
        <x:v>两个人都没有恶意，为什么仍然可以一起制造一段很累的关系？</x:v>
      </x:c>
      <x:c r="F8" s="32" t="n">
        <x:v>5</x:v>
      </x:c>
      <x:c r="G8" s="32" t="n">
        <x:v>5</x:v>
      </x:c>
      <x:c r="H8" s="32" t="n">
        <x:v>5</x:v>
      </x:c>
      <x:c r="I8" s="32" t="n">
        <x:v>5</x:v>
      </x:c>
      <x:c r="J8" s="32" t="n">
        <x:v>4</x:v>
      </x:c>
      <x:c r="K8" s="32" t="n">
        <x:f>F8*6+G8*5+H8*4+I8*3+J8*2</x:f>
        <x:v>98</x:v>
      </x:c>
      <x:c r="L8" s="32" t="str">
        <x:v>流量+涨粉核心</x:v>
      </x:c>
      <x:c r="M8" s="32" t="str">
        <x:f>IF(A8&lt;=20,"前期高频测试",IF(A8&lt;=45,"前中期穿插","中后期逐步增加"))</x:f>
        <x:v>前期高频测试</x:v>
      </x:c>
    </x:row>
    <x:row r="9" ht="46" customHeight="1">
      <x:c r="A9" s="32" t="n">
        <x:v>5</x:v>
      </x:c>
      <x:c r="B9" s="32" t="str">
        <x:f>IF(A9&lt;=20,"A｜前期核心",IF(A9&lt;=45,"B｜中段建设","C｜体系深化"))</x:f>
        <x:v>A｜前期核心</x:v>
      </x:c>
      <x:c r="C9" s="32" t="str">
        <x:v>结构</x:v>
      </x:c>
      <x:c r="D9" s="30" t="str">
        <x:v>为什么当初的吸引特征后来可能成为冲突来源？</x:v>
      </x:c>
      <x:c r="E9" s="30" t="str">
        <x:v>你后来最受不了的地方，为什么有时正是最初喜欢他的理由？</x:v>
      </x:c>
      <x:c r="F9" s="32" t="n">
        <x:v>5</x:v>
      </x:c>
      <x:c r="G9" s="32" t="n">
        <x:v>5</x:v>
      </x:c>
      <x:c r="H9" s="32" t="n">
        <x:v>5</x:v>
      </x:c>
      <x:c r="I9" s="32" t="n">
        <x:v>5</x:v>
      </x:c>
      <x:c r="J9" s="32" t="n">
        <x:v>4</x:v>
      </x:c>
      <x:c r="K9" s="32" t="n">
        <x:f>F9*6+G9*5+H9*4+I9*3+J9*2</x:f>
        <x:v>98</x:v>
      </x:c>
      <x:c r="L9" s="32" t="str">
        <x:v>流量+涨粉核心</x:v>
      </x:c>
      <x:c r="M9" s="32" t="str">
        <x:f>IF(A9&lt;=20,"前期高频测试",IF(A9&lt;=45,"前中期穿插","中后期逐步增加"))</x:f>
        <x:v>前期高频测试</x:v>
      </x:c>
    </x:row>
    <x:row r="10" ht="46" customHeight="1">
      <x:c r="A10" s="32" t="n">
        <x:v>6</x:v>
      </x:c>
      <x:c r="B10" s="32" t="str">
        <x:f>IF(A10&lt;=20,"A｜前期核心",IF(A10&lt;=45,"B｜中段建设","C｜体系深化"))</x:f>
        <x:v>A｜前期核心</x:v>
      </x:c>
      <x:c r="C10" s="32" t="str">
        <x:v>选择</x:v>
      </x:c>
      <x:c r="D10" s="30" t="str">
        <x:v>为什么知道不合适仍然可能选择留下？</x:v>
      </x:c>
      <x:c r="E10" s="30" t="str">
        <x:v>“我知道这段关系不适合”为什么离“我要离开”还有那么远？</x:v>
      </x:c>
      <x:c r="F10" s="32" t="n">
        <x:v>5</x:v>
      </x:c>
      <x:c r="G10" s="32" t="n">
        <x:v>5</x:v>
      </x:c>
      <x:c r="H10" s="32" t="n">
        <x:v>5</x:v>
      </x:c>
      <x:c r="I10" s="32" t="n">
        <x:v>5</x:v>
      </x:c>
      <x:c r="J10" s="32" t="n">
        <x:v>5</x:v>
      </x:c>
      <x:c r="K10" s="32" t="n">
        <x:f>F10*6+G10*5+H10*4+I10*3+J10*2</x:f>
        <x:v>100</x:v>
      </x:c>
      <x:c r="L10" s="32" t="str">
        <x:v>流量+涨粉核心</x:v>
      </x:c>
      <x:c r="M10" s="32" t="str">
        <x:f>IF(A10&lt;=20,"前期高频测试",IF(A10&lt;=45,"前中期穿插","中后期逐步增加"))</x:f>
        <x:v>前期高频测试</x:v>
      </x:c>
    </x:row>
    <x:row r="11" ht="46" customHeight="1">
      <x:c r="A11" s="32" t="n">
        <x:v>7</x:v>
      </x:c>
      <x:c r="B11" s="32" t="str">
        <x:f>IF(A11&lt;=20,"A｜前期核心",IF(A11&lt;=45,"B｜中段建设","C｜体系深化"))</x:f>
        <x:v>A｜前期核心</x:v>
      </x:c>
      <x:c r="C11" s="32" t="str">
        <x:v>循环</x:v>
      </x:c>
      <x:c r="D11" s="30" t="str">
        <x:v>为什么人容易反复被某类特征吸引？</x:v>
      </x:c>
      <x:c r="E11" s="30" t="str">
        <x:v>我们一次次喜欢上的，到底是不同的人，还是某种熟悉的感觉？</x:v>
      </x:c>
      <x:c r="F11" s="32" t="n">
        <x:v>5</x:v>
      </x:c>
      <x:c r="G11" s="32" t="n">
        <x:v>5</x:v>
      </x:c>
      <x:c r="H11" s="32" t="n">
        <x:v>5</x:v>
      </x:c>
      <x:c r="I11" s="32" t="n">
        <x:v>5</x:v>
      </x:c>
      <x:c r="J11" s="32" t="n">
        <x:v>4</x:v>
      </x:c>
      <x:c r="K11" s="32" t="n">
        <x:f>F11*6+G11*5+H11*4+I11*3+J11*2</x:f>
        <x:v>98</x:v>
      </x:c>
      <x:c r="L11" s="32" t="str">
        <x:v>流量+涨粉核心</x:v>
      </x:c>
      <x:c r="M11" s="32" t="str">
        <x:f>IF(A11&lt;=20,"前期高频测试",IF(A11&lt;=45,"前中期穿插","中后期逐步增加"))</x:f>
        <x:v>前期高频测试</x:v>
      </x:c>
    </x:row>
    <x:row r="12" ht="46" customHeight="1">
      <x:c r="A12" s="32" t="n">
        <x:v>8</x:v>
      </x:c>
      <x:c r="B12" s="32" t="str">
        <x:f>IF(A12&lt;=20,"A｜前期核心",IF(A12&lt;=45,"B｜中段建设","C｜体系深化"))</x:f>
        <x:v>A｜前期核心</x:v>
      </x:c>
      <x:c r="C12" s="32" t="str">
        <x:v>认知</x:v>
      </x:c>
      <x:c r="D12" s="30" t="str">
        <x:v>为什么告诉别人自己的判断标准，会改变后来收集到的信息？</x:v>
      </x:c>
      <x:c r="E12" s="30" t="str">
        <x:v>越会筛选人，越容易筛出“会考试”的人</x:v>
      </x:c>
      <x:c r="F12" s="32" t="n">
        <x:v>5</x:v>
      </x:c>
      <x:c r="G12" s="32" t="n">
        <x:v>5</x:v>
      </x:c>
      <x:c r="H12" s="32" t="n">
        <x:v>5</x:v>
      </x:c>
      <x:c r="I12" s="32" t="n">
        <x:v>5</x:v>
      </x:c>
      <x:c r="J12" s="32" t="n">
        <x:v>5</x:v>
      </x:c>
      <x:c r="K12" s="32" t="n">
        <x:f>F12*6+G12*5+H12*4+I12*3+J12*2</x:f>
        <x:v>100</x:v>
      </x:c>
      <x:c r="L12" s="32" t="str">
        <x:v>流量+涨粉核心</x:v>
      </x:c>
      <x:c r="M12" s="32" t="str">
        <x:f>IF(A12&lt;=20,"前期高频测试",IF(A12&lt;=45,"前中期穿插","中后期逐步增加"))</x:f>
        <x:v>前期高频测试</x:v>
      </x:c>
    </x:row>
    <x:row r="13" ht="46" customHeight="1">
      <x:c r="A13" s="32" t="n">
        <x:v>9</x:v>
      </x:c>
      <x:c r="B13" s="32" t="str">
        <x:f>IF(A13&lt;=20,"A｜前期核心",IF(A13&lt;=45,"B｜中段建设","C｜体系深化"))</x:f>
        <x:v>A｜前期核心</x:v>
      </x:c>
      <x:c r="C13" s="32" t="str">
        <x:v>吸引</x:v>
      </x:c>
      <x:c r="D13" s="30" t="str">
        <x:v>第一眼吸引和长期吸引依赖的是不是同一组东西？</x:v>
      </x:c>
      <x:c r="E13" s="30" t="str">
        <x:v>让你一眼喜欢上的东西，为什么可能恰好不是让你喜欢很多年的东西？</x:v>
      </x:c>
      <x:c r="F13" s="32" t="n">
        <x:v>5</x:v>
      </x:c>
      <x:c r="G13" s="32" t="n">
        <x:v>5</x:v>
      </x:c>
      <x:c r="H13" s="32" t="n">
        <x:v>5</x:v>
      </x:c>
      <x:c r="I13" s="32" t="n">
        <x:v>5</x:v>
      </x:c>
      <x:c r="J13" s="32" t="n">
        <x:v>4</x:v>
      </x:c>
      <x:c r="K13" s="32" t="n">
        <x:f>F13*6+G13*5+H13*4+I13*3+J13*2</x:f>
        <x:v>98</x:v>
      </x:c>
      <x:c r="L13" s="32" t="str">
        <x:v>流量+涨粉核心</x:v>
      </x:c>
      <x:c r="M13" s="32" t="str">
        <x:f>IF(A13&lt;=20,"前期高频测试",IF(A13&lt;=45,"前中期穿插","中后期逐步增加"))</x:f>
        <x:v>前期高频测试</x:v>
      </x:c>
    </x:row>
    <x:row r="14" ht="46" customHeight="1">
      <x:c r="A14" s="32" t="n">
        <x:v>10</x:v>
      </x:c>
      <x:c r="B14" s="32" t="str">
        <x:f>IF(A14&lt;=20,"A｜前期核心",IF(A14&lt;=45,"B｜中段建设","C｜体系深化"))</x:f>
        <x:v>A｜前期核心</x:v>
      </x:c>
      <x:c r="C14" s="32" t="str">
        <x:v>认知</x:v>
      </x:c>
      <x:c r="D14" s="30" t="str">
        <x:v>为什么“解释很合理”不能直接等于判断可靠？</x:v>
      </x:c>
      <x:c r="E14" s="30" t="str">
        <x:v>最难判断的人，有时不是没有解释的人，而是什么都解释得通的人</x:v>
      </x:c>
      <x:c r="F14" s="32" t="n">
        <x:v>5</x:v>
      </x:c>
      <x:c r="G14" s="32" t="n">
        <x:v>5</x:v>
      </x:c>
      <x:c r="H14" s="32" t="n">
        <x:v>5</x:v>
      </x:c>
      <x:c r="I14" s="32" t="n">
        <x:v>5</x:v>
      </x:c>
      <x:c r="J14" s="32" t="n">
        <x:v>5</x:v>
      </x:c>
      <x:c r="K14" s="32" t="n">
        <x:f>F14*6+G14*5+H14*4+I14*3+J14*2</x:f>
        <x:v>100</x:v>
      </x:c>
      <x:c r="L14" s="32" t="str">
        <x:v>流量+涨粉核心</x:v>
      </x:c>
      <x:c r="M14" s="32" t="str">
        <x:f>IF(A14&lt;=20,"前期高频测试",IF(A14&lt;=45,"前中期穿插","中后期逐步增加"))</x:f>
        <x:v>前期高频测试</x:v>
      </x:c>
    </x:row>
    <x:row r="15" ht="46" customHeight="1">
      <x:c r="A15" s="32" t="n">
        <x:v>11</x:v>
      </x:c>
      <x:c r="B15" s="32" t="str">
        <x:f>IF(A15&lt;=20,"A｜前期核心",IF(A15&lt;=45,"B｜中段建设","C｜体系深化"))</x:f>
        <x:v>A｜前期核心</x:v>
      </x:c>
      <x:c r="C15" s="32" t="str">
        <x:v>互动</x:v>
      </x:c>
      <x:c r="D15" s="30" t="str">
        <x:v>为什么安抚情绪不能替代解决产生情绪的问题？</x:v>
      </x:c>
      <x:c r="E15" s="30" t="str">
        <x:v>把一个人哄好了，和把一段关系修好了，为什么是两回事？</x:v>
      </x:c>
      <x:c r="F15" s="32" t="n">
        <x:v>5</x:v>
      </x:c>
      <x:c r="G15" s="32" t="n">
        <x:v>5</x:v>
      </x:c>
      <x:c r="H15" s="32" t="n">
        <x:v>5</x:v>
      </x:c>
      <x:c r="I15" s="32" t="n">
        <x:v>5</x:v>
      </x:c>
      <x:c r="J15" s="32" t="n">
        <x:v>5</x:v>
      </x:c>
      <x:c r="K15" s="32" t="n">
        <x:f>F15*6+G15*5+H15*4+I15*3+J15*2</x:f>
        <x:v>100</x:v>
      </x:c>
      <x:c r="L15" s="32" t="str">
        <x:v>流量+涨粉核心</x:v>
      </x:c>
      <x:c r="M15" s="32" t="str">
        <x:f>IF(A15&lt;=20,"前期高频测试",IF(A15&lt;=45,"前中期穿插","中后期逐步增加"))</x:f>
        <x:v>前期高频测试</x:v>
      </x:c>
    </x:row>
    <x:row r="16" ht="46" customHeight="1">
      <x:c r="A16" s="32" t="n">
        <x:v>12</x:v>
      </x:c>
      <x:c r="B16" s="32" t="str">
        <x:f>IF(A16&lt;=20,"A｜前期核心",IF(A16&lt;=45,"B｜中段建设","C｜体系深化"))</x:f>
        <x:v>A｜前期核心</x:v>
      </x:c>
      <x:c r="C16" s="32" t="str">
        <x:v>选择</x:v>
      </x:c>
      <x:c r="D16" s="30" t="str">
        <x:v>为什么有些人需要一个完整解释，才允许自己结束关系？</x:v>
      </x:c>
      <x:c r="E16" s="30" t="str">
        <x:v>我们真正舍不得的，有时不是一个人，而是一个还没有被解释清楚的故事</x:v>
      </x:c>
      <x:c r="F16" s="32" t="n">
        <x:v>5</x:v>
      </x:c>
      <x:c r="G16" s="32" t="n">
        <x:v>5</x:v>
      </x:c>
      <x:c r="H16" s="32" t="n">
        <x:v>5</x:v>
      </x:c>
      <x:c r="I16" s="32" t="n">
        <x:v>5</x:v>
      </x:c>
      <x:c r="J16" s="32" t="n">
        <x:v>5</x:v>
      </x:c>
      <x:c r="K16" s="32" t="n">
        <x:f>F16*6+G16*5+H16*4+I16*3+J16*2</x:f>
        <x:v>100</x:v>
      </x:c>
      <x:c r="L16" s="32" t="str">
        <x:v>流量+涨粉核心</x:v>
      </x:c>
      <x:c r="M16" s="32" t="str">
        <x:f>IF(A16&lt;=20,"前期高频测试",IF(A16&lt;=45,"前中期穿插","中后期逐步增加"))</x:f>
        <x:v>前期高频测试</x:v>
      </x:c>
    </x:row>
    <x:row r="17" ht="46" customHeight="1">
      <x:c r="A17" s="32" t="n">
        <x:v>13</x:v>
      </x:c>
      <x:c r="B17" s="32" t="str">
        <x:f>IF(A17&lt;=20,"A｜前期核心",IF(A17&lt;=45,"B｜中段建设","C｜体系深化"))</x:f>
        <x:v>A｜前期核心</x:v>
      </x:c>
      <x:c r="C17" s="32" t="str">
        <x:v>循环</x:v>
      </x:c>
      <x:c r="D17" s="30" t="str">
        <x:v>为什么对象不同，关系结果却可能高度相似？</x:v>
      </x:c>
      <x:c r="E17" s="30" t="str">
        <x:v>为什么换了不同的人，我们最后却可能走进越来越相似的关系？</x:v>
      </x:c>
      <x:c r="F17" s="32" t="n">
        <x:v>5</x:v>
      </x:c>
      <x:c r="G17" s="32" t="n">
        <x:v>5</x:v>
      </x:c>
      <x:c r="H17" s="32" t="n">
        <x:v>5</x:v>
      </x:c>
      <x:c r="I17" s="32" t="n">
        <x:v>5</x:v>
      </x:c>
      <x:c r="J17" s="32" t="n">
        <x:v>5</x:v>
      </x:c>
      <x:c r="K17" s="32" t="n">
        <x:f>F17*6+G17*5+H17*4+I17*3+J17*2</x:f>
        <x:v>100</x:v>
      </x:c>
      <x:c r="L17" s="32" t="str">
        <x:v>流量+涨粉核心</x:v>
      </x:c>
      <x:c r="M17" s="32" t="str">
        <x:f>IF(A17&lt;=20,"前期高频测试",IF(A17&lt;=45,"前中期穿插","中后期逐步增加"))</x:f>
        <x:v>前期高频测试</x:v>
      </x:c>
    </x:row>
    <x:row r="18" ht="46" customHeight="1">
      <x:c r="A18" s="32" t="n">
        <x:v>14</x:v>
      </x:c>
      <x:c r="B18" s="32" t="str">
        <x:f>IF(A18&lt;=20,"A｜前期核心",IF(A18&lt;=45,"B｜中段建设","C｜体系深化"))</x:f>
        <x:v>A｜前期核心</x:v>
      </x:c>
      <x:c r="C18" s="32" t="str">
        <x:v>个体</x:v>
      </x:c>
      <x:c r="D18" s="30" t="str">
        <x:v>为什么有些人只有在“被需要”时，才更容易确认自己的价值？</x:v>
      </x:c>
      <x:c r="E18" s="30" t="str">
        <x:v>被需要和被爱很像，所以很多人一生都在把它们混在一起</x:v>
      </x:c>
      <x:c r="F18" s="32" t="n">
        <x:v>5</x:v>
      </x:c>
      <x:c r="G18" s="32" t="n">
        <x:v>5</x:v>
      </x:c>
      <x:c r="H18" s="32" t="n">
        <x:v>5</x:v>
      </x:c>
      <x:c r="I18" s="32" t="n">
        <x:v>4</x:v>
      </x:c>
      <x:c r="J18" s="32" t="n">
        <x:v>4</x:v>
      </x:c>
      <x:c r="K18" s="32" t="n">
        <x:f>F18*6+G18*5+H18*4+I18*3+J18*2</x:f>
        <x:v>95</x:v>
      </x:c>
      <x:c r="L18" s="32" t="str">
        <x:v>流量+涨粉核心</x:v>
      </x:c>
      <x:c r="M18" s="32" t="str">
        <x:f>IF(A18&lt;=20,"前期高频测试",IF(A18&lt;=45,"前中期穿插","中后期逐步增加"))</x:f>
        <x:v>前期高频测试</x:v>
      </x:c>
    </x:row>
    <x:row r="19" ht="46" customHeight="1">
      <x:c r="A19" s="32" t="n">
        <x:v>15</x:v>
      </x:c>
      <x:c r="B19" s="32" t="str">
        <x:f>IF(A19&lt;=20,"A｜前期核心",IF(A19&lt;=45,"B｜中段建设","C｜体系深化"))</x:f>
        <x:v>A｜前期核心</x:v>
      </x:c>
      <x:c r="C19" s="32" t="str">
        <x:v>吸引</x:v>
      </x:c>
      <x:c r="D19" s="30" t="str">
        <x:v>为什么真正靠近以后，原本强烈的吸引有时会迅速下降？</x:v>
      </x:c>
      <x:c r="E19" s="30" t="str">
        <x:v>我们有时真正迷恋的，是一个人，还是尚未被现实打破的想象？</x:v>
      </x:c>
      <x:c r="F19" s="32" t="n">
        <x:v>5</x:v>
      </x:c>
      <x:c r="G19" s="32" t="n">
        <x:v>5</x:v>
      </x:c>
      <x:c r="H19" s="32" t="n">
        <x:v>5</x:v>
      </x:c>
      <x:c r="I19" s="32" t="n">
        <x:v>5</x:v>
      </x:c>
      <x:c r="J19" s="32" t="n">
        <x:v>4</x:v>
      </x:c>
      <x:c r="K19" s="32" t="n">
        <x:f>F19*6+G19*5+H19*4+I19*3+J19*2</x:f>
        <x:v>98</x:v>
      </x:c>
      <x:c r="L19" s="32" t="str">
        <x:v>流量+涨粉核心</x:v>
      </x:c>
      <x:c r="M19" s="32" t="str">
        <x:f>IF(A19&lt;=20,"前期高频测试",IF(A19&lt;=45,"前中期穿插","中后期逐步增加"))</x:f>
        <x:v>前期高频测试</x:v>
      </x:c>
    </x:row>
    <x:row r="20" ht="46" customHeight="1">
      <x:c r="A20" s="32" t="n">
        <x:v>16</x:v>
      </x:c>
      <x:c r="B20" s="32" t="str">
        <x:f>IF(A20&lt;=20,"A｜前期核心",IF(A20&lt;=45,"B｜中段建设","C｜体系深化"))</x:f>
        <x:v>A｜前期核心</x:v>
      </x:c>
      <x:c r="C20" s="32" t="str">
        <x:v>互动</x:v>
      </x:c>
      <x:c r="D20" s="30" t="str">
        <x:v>为什么越想解释清楚，冲突有时反而越升级？</x:v>
      </x:c>
      <x:c r="E20" s="30" t="str">
        <x:v>两个人越想证明自己说清楚了，为什么越可能听不见对方在说什么？</x:v>
      </x:c>
      <x:c r="F20" s="32" t="n">
        <x:v>5</x:v>
      </x:c>
      <x:c r="G20" s="32" t="n">
        <x:v>5</x:v>
      </x:c>
      <x:c r="H20" s="32" t="n">
        <x:v>5</x:v>
      </x:c>
      <x:c r="I20" s="32" t="n">
        <x:v>5</x:v>
      </x:c>
      <x:c r="J20" s="32" t="n">
        <x:v>4</x:v>
      </x:c>
      <x:c r="K20" s="32" t="n">
        <x:f>F20*6+G20*5+H20*4+I20*3+J20*2</x:f>
        <x:v>98</x:v>
      </x:c>
      <x:c r="L20" s="32" t="str">
        <x:v>流量+涨粉核心</x:v>
      </x:c>
      <x:c r="M20" s="32" t="str">
        <x:f>IF(A20&lt;=20,"前期高频测试",IF(A20&lt;=45,"前中期穿插","中后期逐步增加"))</x:f>
        <x:v>前期高频测试</x:v>
      </x:c>
    </x:row>
    <x:row r="21" ht="46" customHeight="1">
      <x:c r="A21" s="32" t="n">
        <x:v>17</x:v>
      </x:c>
      <x:c r="B21" s="32" t="str">
        <x:f>IF(A21&lt;=20,"A｜前期核心",IF(A21&lt;=45,"B｜中段建设","C｜体系深化"))</x:f>
        <x:v>A｜前期核心</x:v>
      </x:c>
      <x:c r="C21" s="32" t="str">
        <x:v>互动</x:v>
      </x:c>
      <x:c r="D21" s="30" t="str">
        <x:v>为什么表达需要经常会被对方听成指责或要求？</x:v>
      </x:c>
      <x:c r="E21" s="30" t="str">
        <x:v>“我需要什么”和“你做得不够好”，为什么这么容易被听成同一句话？</x:v>
      </x:c>
      <x:c r="F21" s="32" t="n">
        <x:v>5</x:v>
      </x:c>
      <x:c r="G21" s="32" t="n">
        <x:v>5</x:v>
      </x:c>
      <x:c r="H21" s="32" t="n">
        <x:v>5</x:v>
      </x:c>
      <x:c r="I21" s="32" t="n">
        <x:v>5</x:v>
      </x:c>
      <x:c r="J21" s="32" t="n">
        <x:v>5</x:v>
      </x:c>
      <x:c r="K21" s="32" t="n">
        <x:f>F21*6+G21*5+H21*4+I21*3+J21*2</x:f>
        <x:v>100</x:v>
      </x:c>
      <x:c r="L21" s="32" t="str">
        <x:v>流量+涨粉核心</x:v>
      </x:c>
      <x:c r="M21" s="32" t="str">
        <x:f>IF(A21&lt;=20,"前期高频测试",IF(A21&lt;=45,"前中期穿插","中后期逐步增加"))</x:f>
        <x:v>前期高频测试</x:v>
      </x:c>
    </x:row>
    <x:row r="22" ht="46" customHeight="1">
      <x:c r="A22" s="32" t="n">
        <x:v>18</x:v>
      </x:c>
      <x:c r="B22" s="32" t="str">
        <x:f>IF(A22&lt;=20,"A｜前期核心",IF(A22&lt;=45,"B｜中段建设","C｜体系深化"))</x:f>
        <x:v>A｜前期核心</x:v>
      </x:c>
      <x:c r="C22" s="32" t="str">
        <x:v>结构</x:v>
      </x:c>
      <x:c r="D22" s="30" t="str">
        <x:v>为什么稳定并不一定意味着发展？</x:v>
      </x:c>
      <x:c r="E22" s="30" t="str">
        <x:v>一段关系可以非常稳定，也可以非常稳定地停在原地</x:v>
      </x:c>
      <x:c r="F22" s="32" t="n">
        <x:v>5</x:v>
      </x:c>
      <x:c r="G22" s="32" t="n">
        <x:v>5</x:v>
      </x:c>
      <x:c r="H22" s="32" t="n">
        <x:v>5</x:v>
      </x:c>
      <x:c r="I22" s="32" t="n">
        <x:v>5</x:v>
      </x:c>
      <x:c r="J22" s="32" t="n">
        <x:v>5</x:v>
      </x:c>
      <x:c r="K22" s="32" t="n">
        <x:f>F22*6+G22*5+H22*4+I22*3+J22*2</x:f>
        <x:v>100</x:v>
      </x:c>
      <x:c r="L22" s="32" t="str">
        <x:v>流量+涨粉核心</x:v>
      </x:c>
      <x:c r="M22" s="32" t="str">
        <x:f>IF(A22&lt;=20,"前期高频测试",IF(A22&lt;=45,"前中期穿插","中后期逐步增加"))</x:f>
        <x:v>前期高频测试</x:v>
      </x:c>
    </x:row>
    <x:row r="23" ht="46" customHeight="1">
      <x:c r="A23" s="32" t="n">
        <x:v>19</x:v>
      </x:c>
      <x:c r="B23" s="32" t="str">
        <x:f>IF(A23&lt;=20,"A｜前期核心",IF(A23&lt;=45,"B｜中段建设","C｜体系深化"))</x:f>
        <x:v>A｜前期核心</x:v>
      </x:c>
      <x:c r="C23" s="32" t="str">
        <x:v>认知</x:v>
      </x:c>
      <x:c r="D23" s="30" t="str">
        <x:v>第一印象如何影响之后的信息解释？</x:v>
      </x:c>
      <x:c r="E23" s="30" t="str">
        <x:v>我们第一次怎么看一个人，可能决定了以后会忽略他的什么</x:v>
      </x:c>
      <x:c r="F23" s="32" t="n">
        <x:v>5</x:v>
      </x:c>
      <x:c r="G23" s="32" t="n">
        <x:v>5</x:v>
      </x:c>
      <x:c r="H23" s="32" t="n">
        <x:v>5</x:v>
      </x:c>
      <x:c r="I23" s="32" t="n">
        <x:v>5</x:v>
      </x:c>
      <x:c r="J23" s="32" t="n">
        <x:v>4</x:v>
      </x:c>
      <x:c r="K23" s="32" t="n">
        <x:f>F23*6+G23*5+H23*4+I23*3+J23*2</x:f>
        <x:v>98</x:v>
      </x:c>
      <x:c r="L23" s="32" t="str">
        <x:v>流量+涨粉核心</x:v>
      </x:c>
      <x:c r="M23" s="32" t="str">
        <x:f>IF(A23&lt;=20,"前期高频测试",IF(A23&lt;=45,"前中期穿插","中后期逐步增加"))</x:f>
        <x:v>前期高频测试</x:v>
      </x:c>
    </x:row>
    <x:row r="24" ht="46" customHeight="1">
      <x:c r="A24" s="32" t="n">
        <x:v>20</x:v>
      </x:c>
      <x:c r="B24" s="32" t="str">
        <x:f>IF(A24&lt;=20,"A｜前期核心",IF(A24&lt;=45,"B｜中段建设","C｜体系深化"))</x:f>
        <x:v>A｜前期核心</x:v>
      </x:c>
      <x:c r="C24" s="32" t="str">
        <x:v>结构</x:v>
      </x:c>
      <x:c r="D24" s="30" t="str">
        <x:v>为什么熟悉会降低我们重新认识对方的动力？</x:v>
      </x:c>
      <x:c r="E24" s="30" t="str">
        <x:v>两个人越熟，为什么反而越容易活在“我早就知道你是什么样”的错觉里？</x:v>
      </x:c>
      <x:c r="F24" s="32" t="n">
        <x:v>5</x:v>
      </x:c>
      <x:c r="G24" s="32" t="n">
        <x:v>5</x:v>
      </x:c>
      <x:c r="H24" s="32" t="n">
        <x:v>5</x:v>
      </x:c>
      <x:c r="I24" s="32" t="n">
        <x:v>5</x:v>
      </x:c>
      <x:c r="J24" s="32" t="n">
        <x:v>4</x:v>
      </x:c>
      <x:c r="K24" s="32" t="n">
        <x:f>F24*6+G24*5+H24*4+I24*3+J24*2</x:f>
        <x:v>98</x:v>
      </x:c>
      <x:c r="L24" s="32" t="str">
        <x:v>流量+涨粉核心</x:v>
      </x:c>
      <x:c r="M24" s="32" t="str">
        <x:f>IF(A24&lt;=20,"前期高频测试",IF(A24&lt;=45,"前中期穿插","中后期逐步增加"))</x:f>
        <x:v>前期高频测试</x:v>
      </x:c>
    </x:row>
    <x:row r="25" ht="46" customHeight="1">
      <x:c r="A25" s="32" t="n">
        <x:v>21</x:v>
      </x:c>
      <x:c r="B25" s="32" t="str">
        <x:f>IF(A25&lt;=20,"A｜前期核心",IF(A25&lt;=45,"B｜中段建设","C｜体系深化"))</x:f>
        <x:v>B｜中段建设</x:v>
      </x:c>
      <x:c r="C25" s="32" t="str">
        <x:v>选择</x:v>
      </x:c>
      <x:c r="D25" s="30" t="str">
        <x:v>为什么过去投入会影响当前判断？</x:v>
      </x:c>
      <x:c r="E25" s="30" t="str">
        <x:v>我们是在选择这段关系的未来，还是在替过去的投入寻找意义？</x:v>
      </x:c>
      <x:c r="F25" s="32" t="n">
        <x:v>5</x:v>
      </x:c>
      <x:c r="G25" s="32" t="n">
        <x:v>5</x:v>
      </x:c>
      <x:c r="H25" s="32" t="n">
        <x:v>5</x:v>
      </x:c>
      <x:c r="I25" s="32" t="n">
        <x:v>5</x:v>
      </x:c>
      <x:c r="J25" s="32" t="n">
        <x:v>5</x:v>
      </x:c>
      <x:c r="K25" s="32" t="n">
        <x:f>F25*6+G25*5+H25*4+I25*3+J25*2</x:f>
        <x:v>100</x:v>
      </x:c>
      <x:c r="L25" s="32" t="str">
        <x:v>认知建立+复访</x:v>
      </x:c>
      <x:c r="M25" s="32" t="str">
        <x:f>IF(A25&lt;=20,"前期高频测试",IF(A25&lt;=45,"前中期穿插","中后期逐步增加"))</x:f>
        <x:v>前中期穿插</x:v>
      </x:c>
    </x:row>
    <x:row r="26" ht="46" customHeight="1">
      <x:c r="A26" s="32" t="n">
        <x:v>22</x:v>
      </x:c>
      <x:c r="B26" s="32" t="str">
        <x:f>IF(A26&lt;=20,"A｜前期核心",IF(A26&lt;=45,"B｜中段建设","C｜体系深化"))</x:f>
        <x:v>B｜中段建设</x:v>
      </x:c>
      <x:c r="C26" s="32" t="str">
        <x:v>循环</x:v>
      </x:c>
      <x:c r="D26" s="30" t="str">
        <x:v>为什么过去关系经验会改变对新关系信息的解释？</x:v>
      </x:c>
      <x:c r="E26" s="30" t="str">
        <x:v>上一段关系真正留下来的，可能不是回忆，而是你以后怎么看人的方式</x:v>
      </x:c>
      <x:c r="F26" s="32" t="n">
        <x:v>5</x:v>
      </x:c>
      <x:c r="G26" s="32" t="n">
        <x:v>5</x:v>
      </x:c>
      <x:c r="H26" s="32" t="n">
        <x:v>5</x:v>
      </x:c>
      <x:c r="I26" s="32" t="n">
        <x:v>5</x:v>
      </x:c>
      <x:c r="J26" s="32" t="n">
        <x:v>5</x:v>
      </x:c>
      <x:c r="K26" s="32" t="n">
        <x:f>F26*6+G26*5+H26*4+I26*3+J26*2</x:f>
        <x:v>100</x:v>
      </x:c>
      <x:c r="L26" s="32" t="str">
        <x:v>认知建立+复访</x:v>
      </x:c>
      <x:c r="M26" s="32" t="str">
        <x:f>IF(A26&lt;=20,"前期高频测试",IF(A26&lt;=45,"前中期穿插","中后期逐步增加"))</x:f>
        <x:v>前中期穿插</x:v>
      </x:c>
    </x:row>
    <x:row r="27" ht="46" customHeight="1">
      <x:c r="A27" s="32" t="n">
        <x:v>23</x:v>
      </x:c>
      <x:c r="B27" s="32" t="str">
        <x:f>IF(A27&lt;=20,"A｜前期核心",IF(A27&lt;=45,"B｜中段建设","C｜体系深化"))</x:f>
        <x:v>B｜中段建设</x:v>
      </x:c>
      <x:c r="C27" s="32" t="str">
        <x:v>个体</x:v>
      </x:c>
      <x:c r="D27" s="30" t="str">
        <x:v>为什么我们嘴上描述的择偶标准，经常无法完全预测实际选择？</x:v>
      </x:c>
      <x:c r="E27" s="30" t="str">
        <x:v>我们说自己想要什么样的人，和真正会被什么样的人吸引，是两套判断吗？</x:v>
      </x:c>
      <x:c r="F27" s="32" t="n">
        <x:v>5</x:v>
      </x:c>
      <x:c r="G27" s="32" t="n">
        <x:v>5</x:v>
      </x:c>
      <x:c r="H27" s="32" t="n">
        <x:v>4</x:v>
      </x:c>
      <x:c r="I27" s="32" t="n">
        <x:v>4</x:v>
      </x:c>
      <x:c r="J27" s="32" t="n">
        <x:v>3</x:v>
      </x:c>
      <x:c r="K27" s="32" t="n">
        <x:f>F27*6+G27*5+H27*4+I27*3+J27*2</x:f>
        <x:v>89</x:v>
      </x:c>
      <x:c r="L27" s="32" t="str">
        <x:v>认知建立+复访</x:v>
      </x:c>
      <x:c r="M27" s="32" t="str">
        <x:f>IF(A27&lt;=20,"前期高频测试",IF(A27&lt;=45,"前中期穿插","中后期逐步增加"))</x:f>
        <x:v>前中期穿插</x:v>
      </x:c>
    </x:row>
    <x:row r="28" ht="46" customHeight="1">
      <x:c r="A28" s="32" t="n">
        <x:v>24</x:v>
      </x:c>
      <x:c r="B28" s="32" t="str">
        <x:f>IF(A28&lt;=20,"A｜前期核心",IF(A28&lt;=45,"B｜中段建设","C｜体系深化"))</x:f>
        <x:v>B｜中段建设</x:v>
      </x:c>
      <x:c r="C28" s="32" t="str">
        <x:v>吸引</x:v>
      </x:c>
      <x:c r="D28" s="30" t="str">
        <x:v>为什么获得难度会反过来影响价值判断？</x:v>
      </x:c>
      <x:c r="E28" s="30" t="str">
        <x:v>一个人越难得到，我们为什么越容易相信他值得得到？</x:v>
      </x:c>
      <x:c r="F28" s="32" t="n">
        <x:v>5</x:v>
      </x:c>
      <x:c r="G28" s="32" t="n">
        <x:v>5</x:v>
      </x:c>
      <x:c r="H28" s="32" t="n">
        <x:v>4</x:v>
      </x:c>
      <x:c r="I28" s="32" t="n">
        <x:v>4</x:v>
      </x:c>
      <x:c r="J28" s="32" t="n">
        <x:v>3</x:v>
      </x:c>
      <x:c r="K28" s="32" t="n">
        <x:f>F28*6+G28*5+H28*4+I28*3+J28*2</x:f>
        <x:v>89</x:v>
      </x:c>
      <x:c r="L28" s="32" t="str">
        <x:v>认知建立+复访</x:v>
      </x:c>
      <x:c r="M28" s="32" t="str">
        <x:f>IF(A28&lt;=20,"前期高频测试",IF(A28&lt;=45,"前中期穿插","中后期逐步增加"))</x:f>
        <x:v>前中期穿插</x:v>
      </x:c>
    </x:row>
    <x:row r="29" ht="46" customHeight="1">
      <x:c r="A29" s="32" t="n">
        <x:v>25</x:v>
      </x:c>
      <x:c r="B29" s="32" t="str">
        <x:f>IF(A29&lt;=20,"A｜前期核心",IF(A29&lt;=45,"B｜中段建设","C｜体系深化"))</x:f>
        <x:v>B｜中段建设</x:v>
      </x:c>
      <x:c r="C29" s="32" t="str">
        <x:v>结构</x:v>
      </x:c>
      <x:c r="D29" s="30" t="str">
        <x:v>为什么没有明显矛盾的关系仍然可能逐渐失去活力？</x:v>
      </x:c>
      <x:c r="E29" s="30" t="str">
        <x:v>一段关系真正变淡，可能不是发生了什么，而是什么都不再发生</x:v>
      </x:c>
      <x:c r="F29" s="32" t="n">
        <x:v>5</x:v>
      </x:c>
      <x:c r="G29" s="32" t="n">
        <x:v>5</x:v>
      </x:c>
      <x:c r="H29" s="32" t="n">
        <x:v>5</x:v>
      </x:c>
      <x:c r="I29" s="32" t="n">
        <x:v>5</x:v>
      </x:c>
      <x:c r="J29" s="32" t="n">
        <x:v>4</x:v>
      </x:c>
      <x:c r="K29" s="32" t="n">
        <x:f>F29*6+G29*5+H29*4+I29*3+J29*2</x:f>
        <x:v>98</x:v>
      </x:c>
      <x:c r="L29" s="32" t="str">
        <x:v>认知建立+复访</x:v>
      </x:c>
      <x:c r="M29" s="32" t="str">
        <x:f>IF(A29&lt;=20,"前期高频测试",IF(A29&lt;=45,"前中期穿插","中后期逐步增加"))</x:f>
        <x:v>前中期穿插</x:v>
      </x:c>
    </x:row>
    <x:row r="30" ht="46" customHeight="1">
      <x:c r="A30" s="32" t="n">
        <x:v>26</x:v>
      </x:c>
      <x:c r="B30" s="32" t="str">
        <x:f>IF(A30&lt;=20,"A｜前期核心",IF(A30&lt;=45,"B｜中段建设","C｜体系深化"))</x:f>
        <x:v>B｜中段建设</x:v>
      </x:c>
      <x:c r="C30" s="32" t="str">
        <x:v>认知</x:v>
      </x:c>
      <x:c r="D30" s="30" t="str">
        <x:v>为什么行为改变发生的时间点往往比变化本身更重要？</x:v>
      </x:c>
      <x:c r="E30" s="30" t="str">
        <x:v>一个人突然变了，真正值得研究的是变化之前发生了什么</x:v>
      </x:c>
      <x:c r="F30" s="32" t="n">
        <x:v>5</x:v>
      </x:c>
      <x:c r="G30" s="32" t="n">
        <x:v>5</x:v>
      </x:c>
      <x:c r="H30" s="32" t="n">
        <x:v>5</x:v>
      </x:c>
      <x:c r="I30" s="32" t="n">
        <x:v>5</x:v>
      </x:c>
      <x:c r="J30" s="32" t="n">
        <x:v>5</x:v>
      </x:c>
      <x:c r="K30" s="32" t="n">
        <x:f>F30*6+G30*5+H30*4+I30*3+J30*2</x:f>
        <x:v>100</x:v>
      </x:c>
      <x:c r="L30" s="32" t="str">
        <x:v>认知建立+复访</x:v>
      </x:c>
      <x:c r="M30" s="32" t="str">
        <x:f>IF(A30&lt;=20,"前期高频测试",IF(A30&lt;=45,"前中期穿插","中后期逐步增加"))</x:f>
        <x:v>前中期穿插</x:v>
      </x:c>
    </x:row>
    <x:row r="31" ht="46" customHeight="1">
      <x:c r="A31" s="32" t="n">
        <x:v>27</x:v>
      </x:c>
      <x:c r="B31" s="32" t="str">
        <x:f>IF(A31&lt;=20,"A｜前期核心",IF(A31&lt;=45,"B｜中段建设","C｜体系深化"))</x:f>
        <x:v>B｜中段建设</x:v>
      </x:c>
      <x:c r="C31" s="32" t="str">
        <x:v>互动</x:v>
      </x:c>
      <x:c r="D31" s="30" t="str">
        <x:v>为什么靠近与退后会互相强化？</x:v>
      </x:c>
      <x:c r="E31" s="30" t="str">
        <x:v>一个人越追，一个人越退：到底是谁先把关系变成这样的？</x:v>
      </x:c>
      <x:c r="F31" s="32" t="n">
        <x:v>5</x:v>
      </x:c>
      <x:c r="G31" s="32" t="n">
        <x:v>5</x:v>
      </x:c>
      <x:c r="H31" s="32" t="n">
        <x:v>5</x:v>
      </x:c>
      <x:c r="I31" s="32" t="n">
        <x:v>5</x:v>
      </x:c>
      <x:c r="J31" s="32" t="n">
        <x:v>5</x:v>
      </x:c>
      <x:c r="K31" s="32" t="n">
        <x:f>F31*6+G31*5+H31*4+I31*3+J31*2</x:f>
        <x:v>100</x:v>
      </x:c>
      <x:c r="L31" s="32" t="str">
        <x:v>认知建立+复访</x:v>
      </x:c>
      <x:c r="M31" s="32" t="str">
        <x:f>IF(A31&lt;=20,"前期高频测试",IF(A31&lt;=45,"前中期穿插","中后期逐步增加"))</x:f>
        <x:v>前中期穿插</x:v>
      </x:c>
    </x:row>
    <x:row r="32" ht="46" customHeight="1">
      <x:c r="A32" s="32" t="n">
        <x:v>28</x:v>
      </x:c>
      <x:c r="B32" s="32" t="str">
        <x:f>IF(A32&lt;=20,"A｜前期核心",IF(A32&lt;=45,"B｜中段建设","C｜体系深化"))</x:f>
        <x:v>B｜中段建设</x:v>
      </x:c>
      <x:c r="C32" s="32" t="str">
        <x:v>选择</x:v>
      </x:c>
      <x:c r="D32" s="30" t="str">
        <x:v>为什么继续等待其实同样属于一个决策？</x:v>
      </x:c>
      <x:c r="E32" s="30" t="str">
        <x:v>等待从来不是暂停决定，它只是把决定交给时间</x:v>
      </x:c>
      <x:c r="F32" s="32" t="n">
        <x:v>5</x:v>
      </x:c>
      <x:c r="G32" s="32" t="n">
        <x:v>5</x:v>
      </x:c>
      <x:c r="H32" s="32" t="n">
        <x:v>5</x:v>
      </x:c>
      <x:c r="I32" s="32" t="n">
        <x:v>5</x:v>
      </x:c>
      <x:c r="J32" s="32" t="n">
        <x:v>5</x:v>
      </x:c>
      <x:c r="K32" s="32" t="n">
        <x:f>F32*6+G32*5+H32*4+I32*3+J32*2</x:f>
        <x:v>100</x:v>
      </x:c>
      <x:c r="L32" s="32" t="str">
        <x:v>认知建立+复访</x:v>
      </x:c>
      <x:c r="M32" s="32" t="str">
        <x:f>IF(A32&lt;=20,"前期高频测试",IF(A32&lt;=45,"前中期穿插","中后期逐步增加"))</x:f>
        <x:v>前中期穿插</x:v>
      </x:c>
    </x:row>
    <x:row r="33" ht="46" customHeight="1">
      <x:c r="A33" s="32" t="n">
        <x:v>29</x:v>
      </x:c>
      <x:c r="B33" s="32" t="str">
        <x:f>IF(A33&lt;=20,"A｜前期核心",IF(A33&lt;=45,"B｜中段建设","C｜体系深化"))</x:f>
        <x:v>B｜中段建设</x:v>
      </x:c>
      <x:c r="C33" s="32" t="str">
        <x:v>选择</x:v>
      </x:c>
      <x:c r="D33" s="30" t="str">
        <x:v>为什么模糊状态有时比明确坏结果更容易被接受？</x:v>
      </x:c>
      <x:c r="E33" s="30" t="str">
        <x:v>人为什么宁愿长期不确定，也不愿得到一个自己不想听的答案？</x:v>
      </x:c>
      <x:c r="F33" s="32" t="n">
        <x:v>5</x:v>
      </x:c>
      <x:c r="G33" s="32" t="n">
        <x:v>5</x:v>
      </x:c>
      <x:c r="H33" s="32" t="n">
        <x:v>5</x:v>
      </x:c>
      <x:c r="I33" s="32" t="n">
        <x:v>5</x:v>
      </x:c>
      <x:c r="J33" s="32" t="n">
        <x:v>5</x:v>
      </x:c>
      <x:c r="K33" s="32" t="n">
        <x:f>F33*6+G33*5+H33*4+I33*3+J33*2</x:f>
        <x:v>100</x:v>
      </x:c>
      <x:c r="L33" s="32" t="str">
        <x:v>认知建立+复访</x:v>
      </x:c>
      <x:c r="M33" s="32" t="str">
        <x:f>IF(A33&lt;=20,"前期高频测试",IF(A33&lt;=45,"前中期穿插","中后期逐步增加"))</x:f>
        <x:v>前中期穿插</x:v>
      </x:c>
    </x:row>
    <x:row r="34" ht="46" customHeight="1">
      <x:c r="A34" s="32" t="n">
        <x:v>30</x:v>
      </x:c>
      <x:c r="B34" s="32" t="str">
        <x:f>IF(A34&lt;=20,"A｜前期核心",IF(A34&lt;=45,"B｜中段建设","C｜体系深化"))</x:f>
        <x:v>B｜中段建设</x:v>
      </x:c>
      <x:c r="C34" s="32" t="str">
        <x:v>认知</x:v>
      </x:c>
      <x:c r="D34" s="30" t="str">
        <x:v>为什么大量来自同一环境的信息可能制造一种虚假的确定感？</x:v>
      </x:c>
      <x:c r="E34" s="30" t="str">
        <x:v>最危险的“很了解一个人”，可能是你只看过他的一种样子</x:v>
      </x:c>
      <x:c r="F34" s="32" t="n">
        <x:v>5</x:v>
      </x:c>
      <x:c r="G34" s="32" t="n">
        <x:v>5</x:v>
      </x:c>
      <x:c r="H34" s="32" t="n">
        <x:v>5</x:v>
      </x:c>
      <x:c r="I34" s="32" t="n">
        <x:v>5</x:v>
      </x:c>
      <x:c r="J34" s="32" t="n">
        <x:v>5</x:v>
      </x:c>
      <x:c r="K34" s="32" t="n">
        <x:f>F34*6+G34*5+H34*4+I34*3+J34*2</x:f>
        <x:v>100</x:v>
      </x:c>
      <x:c r="L34" s="32" t="str">
        <x:v>认知建立+复访</x:v>
      </x:c>
      <x:c r="M34" s="32" t="str">
        <x:f>IF(A34&lt;=20,"前期高频测试",IF(A34&lt;=45,"前中期穿插","中后期逐步增加"))</x:f>
        <x:v>前中期穿插</x:v>
      </x:c>
    </x:row>
    <x:row r="35" ht="46" customHeight="1">
      <x:c r="A35" s="32" t="n">
        <x:v>31</x:v>
      </x:c>
      <x:c r="B35" s="32" t="str">
        <x:f>IF(A35&lt;=20,"A｜前期核心",IF(A35&lt;=45,"B｜中段建设","C｜体系深化"))</x:f>
        <x:v>B｜中段建设</x:v>
      </x:c>
      <x:c r="C35" s="32" t="str">
        <x:v>认知</x:v>
      </x:c>
      <x:c r="D35" s="30" t="str">
        <x:v>为什么自发行为与回应要求后的行为，需要被赋予不同的信息权重？</x:v>
      </x:c>
      <x:c r="E35" s="30" t="str">
        <x:v>同一件事，是他自己想到的，还是知道你在意以后才做的，意义完全不同</x:v>
      </x:c>
      <x:c r="F35" s="32" t="n">
        <x:v>4</x:v>
      </x:c>
      <x:c r="G35" s="32" t="n">
        <x:v>5</x:v>
      </x:c>
      <x:c r="H35" s="32" t="n">
        <x:v>5</x:v>
      </x:c>
      <x:c r="I35" s="32" t="n">
        <x:v>5</x:v>
      </x:c>
      <x:c r="J35" s="32" t="n">
        <x:v>5</x:v>
      </x:c>
      <x:c r="K35" s="32" t="n">
        <x:f>F35*6+G35*5+H35*4+I35*3+J35*2</x:f>
        <x:v>94</x:v>
      </x:c>
      <x:c r="L35" s="32" t="str">
        <x:v>认知建立+复访</x:v>
      </x:c>
      <x:c r="M35" s="32" t="str">
        <x:f>IF(A35&lt;=20,"前期高频测试",IF(A35&lt;=45,"前中期穿插","中后期逐步增加"))</x:f>
        <x:v>前中期穿插</x:v>
      </x:c>
    </x:row>
    <x:row r="36" ht="46" customHeight="1">
      <x:c r="A36" s="32" t="n">
        <x:v>32</x:v>
      </x:c>
      <x:c r="B36" s="32" t="str">
        <x:f>IF(A36&lt;=20,"A｜前期核心",IF(A36&lt;=45,"B｜中段建设","C｜体系深化"))</x:f>
        <x:v>B｜中段建设</x:v>
      </x:c>
      <x:c r="C36" s="32" t="str">
        <x:v>互动</x:v>
      </x:c>
      <x:c r="D36" s="30" t="str">
        <x:v>为什么一方越来越沉默，另一方常常会越来越激烈？</x:v>
      </x:c>
      <x:c r="E36" s="30" t="str">
        <x:v>沉默和追问，为什么经常会把彼此推向两个越来越极端的位置？</x:v>
      </x:c>
      <x:c r="F36" s="32" t="n">
        <x:v>5</x:v>
      </x:c>
      <x:c r="G36" s="32" t="n">
        <x:v>5</x:v>
      </x:c>
      <x:c r="H36" s="32" t="n">
        <x:v>5</x:v>
      </x:c>
      <x:c r="I36" s="32" t="n">
        <x:v>5</x:v>
      </x:c>
      <x:c r="J36" s="32" t="n">
        <x:v>5</x:v>
      </x:c>
      <x:c r="K36" s="32" t="n">
        <x:f>F36*6+G36*5+H36*4+I36*3+J36*2</x:f>
        <x:v>100</x:v>
      </x:c>
      <x:c r="L36" s="32" t="str">
        <x:v>认知建立+复访</x:v>
      </x:c>
      <x:c r="M36" s="32" t="str">
        <x:f>IF(A36&lt;=20,"前期高频测试",IF(A36&lt;=45,"前中期穿插","中后期逐步增加"))</x:f>
        <x:v>前中期穿插</x:v>
      </x:c>
    </x:row>
    <x:row r="37" ht="46" customHeight="1">
      <x:c r="A37" s="32" t="n">
        <x:v>33</x:v>
      </x:c>
      <x:c r="B37" s="32" t="str">
        <x:f>IF(A37&lt;=20,"A｜前期核心",IF(A37&lt;=45,"B｜中段建设","C｜体系深化"))</x:f>
        <x:v>B｜中段建设</x:v>
      </x:c>
      <x:c r="C37" s="32" t="str">
        <x:v>结构</x:v>
      </x:c>
      <x:c r="D37" s="30" t="str">
        <x:v>为什么关系修复工作会逐渐集中在某一个人身上？</x:v>
      </x:c>
      <x:c r="E37" s="30" t="str">
        <x:v>当每次都是同一个人把关系拉回来，另一方会慢慢失去什么？</x:v>
      </x:c>
      <x:c r="F37" s="32" t="n">
        <x:v>5</x:v>
      </x:c>
      <x:c r="G37" s="32" t="n">
        <x:v>5</x:v>
      </x:c>
      <x:c r="H37" s="32" t="n">
        <x:v>5</x:v>
      </x:c>
      <x:c r="I37" s="32" t="n">
        <x:v>5</x:v>
      </x:c>
      <x:c r="J37" s="32" t="n">
        <x:v>5</x:v>
      </x:c>
      <x:c r="K37" s="32" t="n">
        <x:f>F37*6+G37*5+H37*4+I37*3+J37*2</x:f>
        <x:v>100</x:v>
      </x:c>
      <x:c r="L37" s="32" t="str">
        <x:v>认知建立+复访</x:v>
      </x:c>
      <x:c r="M37" s="32" t="str">
        <x:f>IF(A37&lt;=20,"前期高频测试",IF(A37&lt;=45,"前中期穿插","中后期逐步增加"))</x:f>
        <x:v>前中期穿插</x:v>
      </x:c>
    </x:row>
    <x:row r="38" ht="46" customHeight="1">
      <x:c r="A38" s="32" t="n">
        <x:v>34</x:v>
      </x:c>
      <x:c r="B38" s="32" t="str">
        <x:f>IF(A38&lt;=20,"A｜前期核心",IF(A38&lt;=45,"B｜中段建设","C｜体系深化"))</x:f>
        <x:v>B｜中段建设</x:v>
      </x:c>
      <x:c r="C38" s="32" t="str">
        <x:v>结构</x:v>
      </x:c>
      <x:c r="D38" s="30" t="str">
        <x:v>为什么早期可以接受的不平衡，后来会变成矛盾？</x:v>
      </x:c>
      <x:c r="E38" s="30" t="str">
        <x:v>真正让人累的，往往不是一次不公平，而是不公平最后变成了默认</x:v>
      </x:c>
      <x:c r="F38" s="32" t="n">
        <x:v>5</x:v>
      </x:c>
      <x:c r="G38" s="32" t="n">
        <x:v>5</x:v>
      </x:c>
      <x:c r="H38" s="32" t="n">
        <x:v>5</x:v>
      </x:c>
      <x:c r="I38" s="32" t="n">
        <x:v>5</x:v>
      </x:c>
      <x:c r="J38" s="32" t="n">
        <x:v>5</x:v>
      </x:c>
      <x:c r="K38" s="32" t="n">
        <x:f>F38*6+G38*5+H38*4+I38*3+J38*2</x:f>
        <x:v>100</x:v>
      </x:c>
      <x:c r="L38" s="32" t="str">
        <x:v>认知建立+复访</x:v>
      </x:c>
      <x:c r="M38" s="32" t="str">
        <x:f>IF(A38&lt;=20,"前期高频测试",IF(A38&lt;=45,"前中期穿插","中后期逐步增加"))</x:f>
        <x:v>前中期穿插</x:v>
      </x:c>
    </x:row>
    <x:row r="39" ht="46" customHeight="1">
      <x:c r="A39" s="32" t="n">
        <x:v>35</x:v>
      </x:c>
      <x:c r="B39" s="32" t="str">
        <x:f>IF(A39&lt;=20,"A｜前期核心",IF(A39&lt;=45,"B｜中段建设","C｜体系深化"))</x:f>
        <x:v>B｜中段建设</x:v>
      </x:c>
      <x:c r="C39" s="32" t="str">
        <x:v>循环</x:v>
      </x:c>
      <x:c r="D39" s="30" t="str">
        <x:v>为什么未完成的关系特别容易持续占据注意力？</x:v>
      </x:c>
      <x:c r="E39" s="30" t="str">
        <x:v>最难离开的关系，为什么有时候恰恰是从来没有真正开始或结束的关系？</x:v>
      </x:c>
      <x:c r="F39" s="32" t="n">
        <x:v>5</x:v>
      </x:c>
      <x:c r="G39" s="32" t="n">
        <x:v>5</x:v>
      </x:c>
      <x:c r="H39" s="32" t="n">
        <x:v>5</x:v>
      </x:c>
      <x:c r="I39" s="32" t="n">
        <x:v>5</x:v>
      </x:c>
      <x:c r="J39" s="32" t="n">
        <x:v>5</x:v>
      </x:c>
      <x:c r="K39" s="32" t="n">
        <x:f>F39*6+G39*5+H39*4+I39*3+J39*2</x:f>
        <x:v>100</x:v>
      </x:c>
      <x:c r="L39" s="32" t="str">
        <x:v>认知建立+复访</x:v>
      </x:c>
      <x:c r="M39" s="32" t="str">
        <x:f>IF(A39&lt;=20,"前期高频测试",IF(A39&lt;=45,"前中期穿插","中后期逐步增加"))</x:f>
        <x:v>前中期穿插</x:v>
      </x:c>
    </x:row>
    <x:row r="40" ht="46" customHeight="1">
      <x:c r="A40" s="32" t="n">
        <x:v>36</x:v>
      </x:c>
      <x:c r="B40" s="32" t="str">
        <x:f>IF(A40&lt;=20,"A｜前期核心",IF(A40&lt;=45,"B｜中段建设","C｜体系深化"))</x:f>
        <x:v>B｜中段建设</x:v>
      </x:c>
      <x:c r="C40" s="32" t="str">
        <x:v>循环</x:v>
      </x:c>
      <x:c r="D40" s="30" t="str">
        <x:v>为什么过度防止重复过去，有时反而会复制过去？</x:v>
      </x:c>
      <x:c r="E40" s="30" t="str">
        <x:v>越害怕下一段关系变成上一段，为什么越可能一直活在上一段里面？</x:v>
      </x:c>
      <x:c r="F40" s="32" t="n">
        <x:v>5</x:v>
      </x:c>
      <x:c r="G40" s="32" t="n">
        <x:v>5</x:v>
      </x:c>
      <x:c r="H40" s="32" t="n">
        <x:v>5</x:v>
      </x:c>
      <x:c r="I40" s="32" t="n">
        <x:v>5</x:v>
      </x:c>
      <x:c r="J40" s="32" t="n">
        <x:v>5</x:v>
      </x:c>
      <x:c r="K40" s="32" t="n">
        <x:f>F40*6+G40*5+H40*4+I40*3+J40*2</x:f>
        <x:v>100</x:v>
      </x:c>
      <x:c r="L40" s="32" t="str">
        <x:v>认知建立+复访</x:v>
      </x:c>
      <x:c r="M40" s="32" t="str">
        <x:f>IF(A40&lt;=20,"前期高频测试",IF(A40&lt;=45,"前中期穿插","中后期逐步增加"))</x:f>
        <x:v>前中期穿插</x:v>
      </x:c>
    </x:row>
    <x:row r="41" ht="46" customHeight="1">
      <x:c r="A41" s="32" t="n">
        <x:v>37</x:v>
      </x:c>
      <x:c r="B41" s="32" t="str">
        <x:f>IF(A41&lt;=20,"A｜前期核心",IF(A41&lt;=45,"B｜中段建设","C｜体系深化"))</x:f>
        <x:v>B｜中段建设</x:v>
      </x:c>
      <x:c r="C41" s="32" t="str">
        <x:v>吸引</x:v>
      </x:c>
      <x:c r="D41" s="30" t="str">
        <x:v>为什么同一个人在不同时间出现，可能产生完全不同的吸引？</x:v>
      </x:c>
      <x:c r="E41" s="30" t="str">
        <x:v>人与人的吸引，会不会不仅取决于是谁，还取决于什么时候遇见？</x:v>
      </x:c>
      <x:c r="F41" s="32" t="n">
        <x:v>5</x:v>
      </x:c>
      <x:c r="G41" s="32" t="n">
        <x:v>5</x:v>
      </x:c>
      <x:c r="H41" s="32" t="n">
        <x:v>5</x:v>
      </x:c>
      <x:c r="I41" s="32" t="n">
        <x:v>4</x:v>
      </x:c>
      <x:c r="J41" s="32" t="n">
        <x:v>3</x:v>
      </x:c>
      <x:c r="K41" s="32" t="n">
        <x:f>F41*6+G41*5+H41*4+I41*3+J41*2</x:f>
        <x:v>93</x:v>
      </x:c>
      <x:c r="L41" s="32" t="str">
        <x:v>认知建立+复访</x:v>
      </x:c>
      <x:c r="M41" s="32" t="str">
        <x:f>IF(A41&lt;=20,"前期高频测试",IF(A41&lt;=45,"前中期穿插","中后期逐步增加"))</x:f>
        <x:v>前中期穿插</x:v>
      </x:c>
    </x:row>
    <x:row r="42" ht="46" customHeight="1">
      <x:c r="A42" s="32" t="n">
        <x:v>38</x:v>
      </x:c>
      <x:c r="B42" s="32" t="str">
        <x:f>IF(A42&lt;=20,"A｜前期核心",IF(A42&lt;=45,"B｜中段建设","C｜体系深化"))</x:f>
        <x:v>B｜中段建设</x:v>
      </x:c>
      <x:c r="C42" s="32" t="str">
        <x:v>吸引</x:v>
      </x:c>
      <x:c r="D42" s="30" t="str">
        <x:v>为什么一些并不突出的人，却能产生强烈而持续的吸引？</x:v>
      </x:c>
      <x:c r="E42" s="30" t="str">
        <x:v>有些人明明没有那么好，为什么偏偏很难被替代？</x:v>
      </x:c>
      <x:c r="F42" s="32" t="n">
        <x:v>5</x:v>
      </x:c>
      <x:c r="G42" s="32" t="n">
        <x:v>5</x:v>
      </x:c>
      <x:c r="H42" s="32" t="n">
        <x:v>4</x:v>
      </x:c>
      <x:c r="I42" s="32" t="n">
        <x:v>4</x:v>
      </x:c>
      <x:c r="J42" s="32" t="n">
        <x:v>3</x:v>
      </x:c>
      <x:c r="K42" s="32" t="n">
        <x:f>F42*6+G42*5+H42*4+I42*3+J42*2</x:f>
        <x:v>89</x:v>
      </x:c>
      <x:c r="L42" s="32" t="str">
        <x:v>认知建立+复访</x:v>
      </x:c>
      <x:c r="M42" s="32" t="str">
        <x:f>IF(A42&lt;=20,"前期高频测试",IF(A42&lt;=45,"前中期穿插","中后期逐步增加"))</x:f>
        <x:v>前中期穿插</x:v>
      </x:c>
    </x:row>
    <x:row r="43" ht="46" customHeight="1">
      <x:c r="A43" s="32" t="n">
        <x:v>39</x:v>
      </x:c>
      <x:c r="B43" s="32" t="str">
        <x:f>IF(A43&lt;=20,"A｜前期核心",IF(A43&lt;=45,"B｜中段建设","C｜体系深化"))</x:f>
        <x:v>B｜中段建设</x:v>
      </x:c>
      <x:c r="C43" s="32" t="str">
        <x:v>认知</x:v>
      </x:c>
      <x:c r="D43" s="30" t="str">
        <x:v>为什么信息增加不一定提高判断准确度？</x:v>
      </x:c>
      <x:c r="E43" s="30" t="str">
        <x:v>知道一个人越来越多，为什么不一定意味着越来越了解他？</x:v>
      </x:c>
      <x:c r="F43" s="32" t="n">
        <x:v>5</x:v>
      </x:c>
      <x:c r="G43" s="32" t="n">
        <x:v>5</x:v>
      </x:c>
      <x:c r="H43" s="32" t="n">
        <x:v>5</x:v>
      </x:c>
      <x:c r="I43" s="32" t="n">
        <x:v>5</x:v>
      </x:c>
      <x:c r="J43" s="32" t="n">
        <x:v>4</x:v>
      </x:c>
      <x:c r="K43" s="32" t="n">
        <x:f>F43*6+G43*5+H43*4+I43*3+J43*2</x:f>
        <x:v>98</x:v>
      </x:c>
      <x:c r="L43" s="32" t="str">
        <x:v>认知建立+复访</x:v>
      </x:c>
      <x:c r="M43" s="32" t="str">
        <x:f>IF(A43&lt;=20,"前期高频测试",IF(A43&lt;=45,"前中期穿插","中后期逐步增加"))</x:f>
        <x:v>前中期穿插</x:v>
      </x:c>
    </x:row>
    <x:row r="44" ht="46" customHeight="1">
      <x:c r="A44" s="32" t="n">
        <x:v>40</x:v>
      </x:c>
      <x:c r="B44" s="32" t="str">
        <x:f>IF(A44&lt;=20,"A｜前期核心",IF(A44&lt;=45,"B｜中段建设","C｜体系深化"))</x:f>
        <x:v>B｜中段建设</x:v>
      </x:c>
      <x:c r="C44" s="32" t="str">
        <x:v>认知</x:v>
      </x:c>
      <x:c r="D44" s="30" t="str">
        <x:v>为什么后来的重大事件会重新改变我们对过去的理解？</x:v>
      </x:c>
      <x:c r="E44" s="30" t="str">
        <x:v>为什么一个人后来做的一件事，会让你重新解释你们过去的很多事？</x:v>
      </x:c>
      <x:c r="F44" s="32" t="n">
        <x:v>5</x:v>
      </x:c>
      <x:c r="G44" s="32" t="n">
        <x:v>5</x:v>
      </x:c>
      <x:c r="H44" s="32" t="n">
        <x:v>5</x:v>
      </x:c>
      <x:c r="I44" s="32" t="n">
        <x:v>4</x:v>
      </x:c>
      <x:c r="J44" s="32" t="n">
        <x:v>4</x:v>
      </x:c>
      <x:c r="K44" s="32" t="n">
        <x:f>F44*6+G44*5+H44*4+I44*3+J44*2</x:f>
        <x:v>95</x:v>
      </x:c>
      <x:c r="L44" s="32" t="str">
        <x:v>认知建立+复访</x:v>
      </x:c>
      <x:c r="M44" s="32" t="str">
        <x:f>IF(A44&lt;=20,"前期高频测试",IF(A44&lt;=45,"前中期穿插","中后期逐步增加"))</x:f>
        <x:v>前中期穿插</x:v>
      </x:c>
    </x:row>
    <x:row r="45" ht="46" customHeight="1">
      <x:c r="A45" s="32" t="n">
        <x:v>41</x:v>
      </x:c>
      <x:c r="B45" s="32" t="str">
        <x:f>IF(A45&lt;=20,"A｜前期核心",IF(A45&lt;=45,"B｜中段建设","C｜体系深化"))</x:f>
        <x:v>B｜中段建设</x:v>
      </x:c>
      <x:c r="C45" s="32" t="str">
        <x:v>互动</x:v>
      </x:c>
      <x:c r="D45" s="30" t="str">
        <x:v>为什么道歉并不一定能够真正结束一场矛盾？</x:v>
      </x:c>
      <x:c r="E45" s="30" t="str">
        <x:v>一句“我错了”为什么有时候结束了争吵，却没有结束问题？</x:v>
      </x:c>
      <x:c r="F45" s="32" t="n">
        <x:v>5</x:v>
      </x:c>
      <x:c r="G45" s="32" t="n">
        <x:v>5</x:v>
      </x:c>
      <x:c r="H45" s="32" t="n">
        <x:v>5</x:v>
      </x:c>
      <x:c r="I45" s="32" t="n">
        <x:v>4</x:v>
      </x:c>
      <x:c r="J45" s="32" t="n">
        <x:v>5</x:v>
      </x:c>
      <x:c r="K45" s="32" t="n">
        <x:f>F45*6+G45*5+H45*4+I45*3+J45*2</x:f>
        <x:v>97</x:v>
      </x:c>
      <x:c r="L45" s="32" t="str">
        <x:v>认知建立+复访</x:v>
      </x:c>
      <x:c r="M45" s="32" t="str">
        <x:f>IF(A45&lt;=20,"前期高频测试",IF(A45&lt;=45,"前中期穿插","中后期逐步增加"))</x:f>
        <x:v>前中期穿插</x:v>
      </x:c>
    </x:row>
    <x:row r="46" ht="46" customHeight="1">
      <x:c r="A46" s="32" t="n">
        <x:v>42</x:v>
      </x:c>
      <x:c r="B46" s="32" t="str">
        <x:f>IF(A46&lt;=20,"A｜前期核心",IF(A46&lt;=45,"B｜中段建设","C｜体系深化"))</x:f>
        <x:v>B｜中段建设</x:v>
      </x:c>
      <x:c r="C46" s="32" t="str">
        <x:v>互动</x:v>
      </x:c>
      <x:c r="D46" s="30" t="str">
        <x:v>为什么不断索取确定答案，会逐渐改变互动本身？</x:v>
      </x:c>
      <x:c r="E46" s="30" t="str">
        <x:v>当一段关系开始不断需要被证明，它还是原来的关系吗？</x:v>
      </x:c>
      <x:c r="F46" s="32" t="n">
        <x:v>5</x:v>
      </x:c>
      <x:c r="G46" s="32" t="n">
        <x:v>5</x:v>
      </x:c>
      <x:c r="H46" s="32" t="n">
        <x:v>5</x:v>
      </x:c>
      <x:c r="I46" s="32" t="n">
        <x:v>5</x:v>
      </x:c>
      <x:c r="J46" s="32" t="n">
        <x:v>4</x:v>
      </x:c>
      <x:c r="K46" s="32" t="n">
        <x:f>F46*6+G46*5+H46*4+I46*3+J46*2</x:f>
        <x:v>98</x:v>
      </x:c>
      <x:c r="L46" s="32" t="str">
        <x:v>认知建立+复访</x:v>
      </x:c>
      <x:c r="M46" s="32" t="str">
        <x:f>IF(A46&lt;=20,"前期高频测试",IF(A46&lt;=45,"前中期穿插","中后期逐步增加"))</x:f>
        <x:v>前中期穿插</x:v>
      </x:c>
    </x:row>
    <x:row r="47" ht="46" customHeight="1">
      <x:c r="A47" s="32" t="n">
        <x:v>43</x:v>
      </x:c>
      <x:c r="B47" s="32" t="str">
        <x:f>IF(A47&lt;=20,"A｜前期核心",IF(A47&lt;=45,"B｜中段建设","C｜体系深化"))</x:f>
        <x:v>B｜中段建设</x:v>
      </x:c>
      <x:c r="C47" s="32" t="str">
        <x:v>结构</x:v>
      </x:c>
      <x:c r="D47" s="30" t="str">
        <x:v>为什么确定性增加以后，人容易减少主动观察和投入？</x:v>
      </x:c>
      <x:c r="E47" s="30" t="str">
        <x:v>我们越确定一个人不会离开，为什么越容易停止重新看见他？</x:v>
      </x:c>
      <x:c r="F47" s="32" t="n">
        <x:v>5</x:v>
      </x:c>
      <x:c r="G47" s="32" t="n">
        <x:v>5</x:v>
      </x:c>
      <x:c r="H47" s="32" t="n">
        <x:v>5</x:v>
      </x:c>
      <x:c r="I47" s="32" t="n">
        <x:v>5</x:v>
      </x:c>
      <x:c r="J47" s="32" t="n">
        <x:v>4</x:v>
      </x:c>
      <x:c r="K47" s="32" t="n">
        <x:f>F47*6+G47*5+H47*4+I47*3+J47*2</x:f>
        <x:v>98</x:v>
      </x:c>
      <x:c r="L47" s="32" t="str">
        <x:v>认知建立+复访</x:v>
      </x:c>
      <x:c r="M47" s="32" t="str">
        <x:f>IF(A47&lt;=20,"前期高频测试",IF(A47&lt;=45,"前中期穿插","中后期逐步增加"))</x:f>
        <x:v>前中期穿插</x:v>
      </x:c>
    </x:row>
    <x:row r="48" ht="46" customHeight="1">
      <x:c r="A48" s="32" t="n">
        <x:v>44</x:v>
      </x:c>
      <x:c r="B48" s="32" t="str">
        <x:f>IF(A48&lt;=20,"A｜前期核心",IF(A48&lt;=45,"B｜中段建设","C｜体系深化"))</x:f>
        <x:v>B｜中段建设</x:v>
      </x:c>
      <x:c r="C48" s="32" t="str">
        <x:v>选择</x:v>
      </x:c>
      <x:c r="D48" s="30" t="str">
        <x:v>为什么关系决策容易忽略机会成本？</x:v>
      </x:c>
      <x:c r="E48" s="30" t="str">
        <x:v>一段关系真正占用的，不只是时间，还有那些因此没有发生的人生</x:v>
      </x:c>
      <x:c r="F48" s="32" t="n">
        <x:v>5</x:v>
      </x:c>
      <x:c r="G48" s="32" t="n">
        <x:v>5</x:v>
      </x:c>
      <x:c r="H48" s="32" t="n">
        <x:v>5</x:v>
      </x:c>
      <x:c r="I48" s="32" t="n">
        <x:v>5</x:v>
      </x:c>
      <x:c r="J48" s="32" t="n">
        <x:v>5</x:v>
      </x:c>
      <x:c r="K48" s="32" t="n">
        <x:f>F48*6+G48*5+H48*4+I48*3+J48*2</x:f>
        <x:v>100</x:v>
      </x:c>
      <x:c r="L48" s="32" t="str">
        <x:v>认知建立+复访</x:v>
      </x:c>
      <x:c r="M48" s="32" t="str">
        <x:f>IF(A48&lt;=20,"前期高频测试",IF(A48&lt;=45,"前中期穿插","中后期逐步增加"))</x:f>
        <x:v>前中期穿插</x:v>
      </x:c>
    </x:row>
    <x:row r="49" ht="46" customHeight="1">
      <x:c r="A49" s="32" t="n">
        <x:v>45</x:v>
      </x:c>
      <x:c r="B49" s="32" t="str">
        <x:f>IF(A49&lt;=20,"A｜前期核心",IF(A49&lt;=45,"B｜中段建设","C｜体系深化"))</x:f>
        <x:v>B｜中段建设</x:v>
      </x:c>
      <x:c r="C49" s="32" t="str">
        <x:v>选择</x:v>
      </x:c>
      <x:c r="D49" s="30" t="str">
        <x:v>为什么追求“一次选对”反而容易造成决策拖延？</x:v>
      </x:c>
      <x:c r="E49" s="30" t="str">
        <x:v>越想做出一个永远不会后悔的选择，为什么越容易什么都不选？</x:v>
      </x:c>
      <x:c r="F49" s="32" t="n">
        <x:v>5</x:v>
      </x:c>
      <x:c r="G49" s="32" t="n">
        <x:v>5</x:v>
      </x:c>
      <x:c r="H49" s="32" t="n">
        <x:v>5</x:v>
      </x:c>
      <x:c r="I49" s="32" t="n">
        <x:v>5</x:v>
      </x:c>
      <x:c r="J49" s="32" t="n">
        <x:v>4</x:v>
      </x:c>
      <x:c r="K49" s="32" t="n">
        <x:f>F49*6+G49*5+H49*4+I49*3+J49*2</x:f>
        <x:v>98</x:v>
      </x:c>
      <x:c r="L49" s="32" t="str">
        <x:v>认知建立+复访</x:v>
      </x:c>
      <x:c r="M49" s="32" t="str">
        <x:f>IF(A49&lt;=20,"前期高频测试",IF(A49&lt;=45,"前中期穿插","中后期逐步增加"))</x:f>
        <x:v>前中期穿插</x:v>
      </x:c>
    </x:row>
    <x:row r="50" ht="46" customHeight="1">
      <x:c r="A50" s="32" t="n">
        <x:v>46</x:v>
      </x:c>
      <x:c r="B50" s="32" t="str">
        <x:f>IF(A50&lt;=20,"A｜前期核心",IF(A50&lt;=45,"B｜中段建设","C｜体系深化"))</x:f>
        <x:v>C｜体系深化</x:v>
      </x:c>
      <x:c r="C50" s="32" t="str">
        <x:v>个体</x:v>
      </x:c>
      <x:c r="D50" s="30" t="str">
        <x:v>为什么进入关系以后，人容易逐渐承担一个固定角色？</x:v>
      </x:c>
      <x:c r="E50" s="30" t="str">
        <x:v>为什么有些人无论和谁在一起，最后都会慢慢变成关系里的同一种人？</x:v>
      </x:c>
      <x:c r="F50" s="32" t="n">
        <x:v>5</x:v>
      </x:c>
      <x:c r="G50" s="32" t="n">
        <x:v>5</x:v>
      </x:c>
      <x:c r="H50" s="32" t="n">
        <x:v>5</x:v>
      </x:c>
      <x:c r="I50" s="32" t="n">
        <x:v>5</x:v>
      </x:c>
      <x:c r="J50" s="32" t="n">
        <x:v>4</x:v>
      </x:c>
      <x:c r="K50" s="32" t="n">
        <x:f>F50*6+G50*5+H50*4+I50*3+J50*2</x:f>
        <x:v>98</x:v>
      </x:c>
      <x:c r="L50" s="32" t="str">
        <x:v>体系深化</x:v>
      </x:c>
      <x:c r="M50" s="32" t="str">
        <x:f>IF(A50&lt;=20,"前期高频测试",IF(A50&lt;=45,"前中期穿插","中后期逐步增加"))</x:f>
        <x:v>中后期逐步增加</x:v>
      </x:c>
    </x:row>
    <x:row r="51" ht="46" customHeight="1">
      <x:c r="A51" s="32" t="n">
        <x:v>47</x:v>
      </x:c>
      <x:c r="B51" s="32" t="str">
        <x:f>IF(A51&lt;=20,"A｜前期核心",IF(A51&lt;=45,"B｜中段建设","C｜体系深化"))</x:f>
        <x:v>C｜体系深化</x:v>
      </x:c>
      <x:c r="C51" s="32" t="str">
        <x:v>个体</x:v>
      </x:c>
      <x:c r="D51" s="30" t="str">
        <x:v>为什么“害怕失去什么”有时比“想得到什么”更能解释一个人的关系行为？</x:v>
      </x:c>
      <x:c r="E51" s="30" t="str">
        <x:v>理解一个人，有时候要先看他最怕失去什么</x:v>
      </x:c>
      <x:c r="F51" s="32" t="n">
        <x:v>4</x:v>
      </x:c>
      <x:c r="G51" s="32" t="n">
        <x:v>4</x:v>
      </x:c>
      <x:c r="H51" s="32" t="n">
        <x:v>5</x:v>
      </x:c>
      <x:c r="I51" s="32" t="n">
        <x:v>5</x:v>
      </x:c>
      <x:c r="J51" s="32" t="n">
        <x:v>5</x:v>
      </x:c>
      <x:c r="K51" s="32" t="n">
        <x:f>F51*6+G51*5+H51*4+I51*3+J51*2</x:f>
        <x:v>89</x:v>
      </x:c>
      <x:c r="L51" s="32" t="str">
        <x:v>体系深化</x:v>
      </x:c>
      <x:c r="M51" s="32" t="str">
        <x:f>IF(A51&lt;=20,"前期高频测试",IF(A51&lt;=45,"前中期穿插","中后期逐步增加"))</x:f>
        <x:v>中后期逐步增加</x:v>
      </x:c>
    </x:row>
    <x:row r="52" ht="46" customHeight="1">
      <x:c r="A52" s="32" t="n">
        <x:v>48</x:v>
      </x:c>
      <x:c r="B52" s="32" t="str">
        <x:f>IF(A52&lt;=20,"A｜前期核心",IF(A52&lt;=45,"B｜中段建设","C｜体系深化"))</x:f>
        <x:v>C｜体系深化</x:v>
      </x:c>
      <x:c r="C52" s="32" t="str">
        <x:v>个体</x:v>
      </x:c>
      <x:c r="D52" s="30" t="str">
        <x:v>为什么面对同样的不确定，有人觉得刺激，有人首先感到危险？</x:v>
      </x:c>
      <x:c r="E52" s="30" t="str">
        <x:v>同样是不确定，为什么有人感到吸引，有人感到威胁？</x:v>
      </x:c>
      <x:c r="F52" s="32" t="n">
        <x:v>5</x:v>
      </x:c>
      <x:c r="G52" s="32" t="n">
        <x:v>4</x:v>
      </x:c>
      <x:c r="H52" s="32" t="n">
        <x:v>4</x:v>
      </x:c>
      <x:c r="I52" s="32" t="n">
        <x:v>4</x:v>
      </x:c>
      <x:c r="J52" s="32" t="n">
        <x:v>3</x:v>
      </x:c>
      <x:c r="K52" s="32" t="n">
        <x:f>F52*6+G52*5+H52*4+I52*3+J52*2</x:f>
        <x:v>84</x:v>
      </x:c>
      <x:c r="L52" s="32" t="str">
        <x:v>体系深化</x:v>
      </x:c>
      <x:c r="M52" s="32" t="str">
        <x:f>IF(A52&lt;=20,"前期高频测试",IF(A52&lt;=45,"前中期穿插","中后期逐步增加"))</x:f>
        <x:v>中后期逐步增加</x:v>
      </x:c>
    </x:row>
    <x:row r="53" ht="46" customHeight="1">
      <x:c r="A53" s="32" t="n">
        <x:v>49</x:v>
      </x:c>
      <x:c r="B53" s="32" t="str">
        <x:f>IF(A53&lt;=20,"A｜前期核心",IF(A53&lt;=45,"B｜中段建设","C｜体系深化"))</x:f>
        <x:v>C｜体系深化</x:v>
      </x:c>
      <x:c r="C53" s="32" t="str">
        <x:v>个体</x:v>
      </x:c>
      <x:c r="D53" s="30" t="str">
        <x:v>一个人长期缺少的东西，会怎样改变他对关系价值的判断？</x:v>
      </x:c>
      <x:c r="E53" s="30" t="str">
        <x:v>我们越缺少的东西，为什么越容易被我们赋予过高的意义？</x:v>
      </x:c>
      <x:c r="F53" s="32" t="n">
        <x:v>5</x:v>
      </x:c>
      <x:c r="G53" s="32" t="n">
        <x:v>4</x:v>
      </x:c>
      <x:c r="H53" s="32" t="n">
        <x:v>4</x:v>
      </x:c>
      <x:c r="I53" s="32" t="n">
        <x:v>4</x:v>
      </x:c>
      <x:c r="J53" s="32" t="n">
        <x:v>3</x:v>
      </x:c>
      <x:c r="K53" s="32" t="n">
        <x:f>F53*6+G53*5+H53*4+I53*3+J53*2</x:f>
        <x:v>84</x:v>
      </x:c>
      <x:c r="L53" s="32" t="str">
        <x:v>体系深化</x:v>
      </x:c>
      <x:c r="M53" s="32" t="str">
        <x:f>IF(A53&lt;=20,"前期高频测试",IF(A53&lt;=45,"前中期穿插","中后期逐步增加"))</x:f>
        <x:v>中后期逐步增加</x:v>
      </x:c>
    </x:row>
    <x:row r="54" ht="46" customHeight="1">
      <x:c r="A54" s="32" t="n">
        <x:v>50</x:v>
      </x:c>
      <x:c r="B54" s="32" t="str">
        <x:f>IF(A54&lt;=20,"A｜前期核心",IF(A54&lt;=45,"B｜中段建设","C｜体系深化"))</x:f>
        <x:v>C｜体系深化</x:v>
      </x:c>
      <x:c r="C54" s="32" t="str">
        <x:v>吸引</x:v>
      </x:c>
      <x:c r="D54" s="30" t="str">
        <x:v>为什么“被理解”的体验容易迅速放大关系重要性？</x:v>
      </x:c>
      <x:c r="E54" s="30" t="str">
        <x:v>一个人真正让你上心，可能是从“他好像真的懂我”开始的</x:v>
      </x:c>
      <x:c r="F54" s="32" t="n">
        <x:v>5</x:v>
      </x:c>
      <x:c r="G54" s="32" t="n">
        <x:v>5</x:v>
      </x:c>
      <x:c r="H54" s="32" t="n">
        <x:v>4</x:v>
      </x:c>
      <x:c r="I54" s="32" t="n">
        <x:v>4</x:v>
      </x:c>
      <x:c r="J54" s="32" t="n">
        <x:v>4</x:v>
      </x:c>
      <x:c r="K54" s="32" t="n">
        <x:f>F54*6+G54*5+H54*4+I54*3+J54*2</x:f>
        <x:v>91</x:v>
      </x:c>
      <x:c r="L54" s="32" t="str">
        <x:v>体系深化</x:v>
      </x:c>
      <x:c r="M54" s="32" t="str">
        <x:f>IF(A54&lt;=20,"前期高频测试",IF(A54&lt;=45,"前中期穿插","中后期逐步增加"))</x:f>
        <x:v>中后期逐步增加</x:v>
      </x:c>
    </x:row>
    <x:row r="55" ht="46" customHeight="1">
      <x:c r="A55" s="32" t="n">
        <x:v>51</x:v>
      </x:c>
      <x:c r="B55" s="32" t="str">
        <x:f>IF(A55&lt;=20,"A｜前期核心",IF(A55&lt;=45,"B｜中段建设","C｜体系深化"))</x:f>
        <x:v>C｜体系深化</x:v>
      </x:c>
      <x:c r="C55" s="32" t="str">
        <x:v>吸引</x:v>
      </x:c>
      <x:c r="D55" s="30" t="str">
        <x:v>为什么强烈吸引不能直接推导出长期适配？</x:v>
      </x:c>
      <x:c r="E55" s="30" t="str">
        <x:v>有感觉和适合，为什么经常发生在关系的两个不同阶段？</x:v>
      </x:c>
      <x:c r="F55" s="32" t="n">
        <x:v>5</x:v>
      </x:c>
      <x:c r="G55" s="32" t="n">
        <x:v>5</x:v>
      </x:c>
      <x:c r="H55" s="32" t="n">
        <x:v>4</x:v>
      </x:c>
      <x:c r="I55" s="32" t="n">
        <x:v>4</x:v>
      </x:c>
      <x:c r="J55" s="32" t="n">
        <x:v>4</x:v>
      </x:c>
      <x:c r="K55" s="32" t="n">
        <x:f>F55*6+G55*5+H55*4+I55*3+J55*2</x:f>
        <x:v>91</x:v>
      </x:c>
      <x:c r="L55" s="32" t="str">
        <x:v>体系深化</x:v>
      </x:c>
      <x:c r="M55" s="32" t="str">
        <x:f>IF(A55&lt;=20,"前期高频测试",IF(A55&lt;=45,"前中期穿插","中后期逐步增加"))</x:f>
        <x:v>中后期逐步增加</x:v>
      </x:c>
    </x:row>
    <x:row r="56" ht="46" customHeight="1">
      <x:c r="A56" s="32" t="n">
        <x:v>52</x:v>
      </x:c>
      <x:c r="B56" s="32" t="str">
        <x:f>IF(A56&lt;=20,"A｜前期核心",IF(A56&lt;=45,"B｜中段建设","C｜体系深化"))</x:f>
        <x:v>C｜体系深化</x:v>
      </x:c>
      <x:c r="C56" s="32" t="str">
        <x:v>个体</x:v>
      </x:c>
      <x:c r="D56" s="30" t="str">
        <x:v>为什么我们选择一个人，有时也在选择自己想成为怎样的人？</x:v>
      </x:c>
      <x:c r="E56" s="30" t="str">
        <x:v>我们选择伴侣的时候，会不会也在选择一种想成为的人生？</x:v>
      </x:c>
      <x:c r="F56" s="32" t="n">
        <x:v>5</x:v>
      </x:c>
      <x:c r="G56" s="32" t="n">
        <x:v>5</x:v>
      </x:c>
      <x:c r="H56" s="32" t="n">
        <x:v>5</x:v>
      </x:c>
      <x:c r="I56" s="32" t="n">
        <x:v>5</x:v>
      </x:c>
      <x:c r="J56" s="32" t="n">
        <x:v>3</x:v>
      </x:c>
      <x:c r="K56" s="32" t="n">
        <x:f>F56*6+G56*5+H56*4+I56*3+J56*2</x:f>
        <x:v>96</x:v>
      </x:c>
      <x:c r="L56" s="32" t="str">
        <x:v>体系深化</x:v>
      </x:c>
      <x:c r="M56" s="32" t="str">
        <x:f>IF(A56&lt;=20,"前期高频测试",IF(A56&lt;=45,"前中期穿插","中后期逐步增加"))</x:f>
        <x:v>中后期逐步增加</x:v>
      </x:c>
    </x:row>
    <x:row r="57" ht="46" customHeight="1">
      <x:c r="A57" s="32" t="n">
        <x:v>53</x:v>
      </x:c>
      <x:c r="B57" s="32" t="str">
        <x:f>IF(A57&lt;=20,"A｜前期核心",IF(A57&lt;=45,"B｜中段建设","C｜体系深化"))</x:f>
        <x:v>C｜体系深化</x:v>
      </x:c>
      <x:c r="C57" s="32" t="str">
        <x:v>循环</x:v>
      </x:c>
      <x:c r="D57" s="30" t="str">
        <x:v>为什么表面完全不同的关系可能拥有相似的内部结构？</x:v>
      </x:c>
      <x:c r="E57" s="30" t="str">
        <x:v>两段看起来完全不同的关系，为什么最后会让你产生一模一样的感觉？</x:v>
      </x:c>
      <x:c r="F57" s="32" t="n">
        <x:v>5</x:v>
      </x:c>
      <x:c r="G57" s="32" t="n">
        <x:v>5</x:v>
      </x:c>
      <x:c r="H57" s="32" t="n">
        <x:v>5</x:v>
      </x:c>
      <x:c r="I57" s="32" t="n">
        <x:v>5</x:v>
      </x:c>
      <x:c r="J57" s="32" t="n">
        <x:v>5</x:v>
      </x:c>
      <x:c r="K57" s="32" t="n">
        <x:f>F57*6+G57*5+H57*4+I57*3+J57*2</x:f>
        <x:v>100</x:v>
      </x:c>
      <x:c r="L57" s="32" t="str">
        <x:v>体系深化</x:v>
      </x:c>
      <x:c r="M57" s="32" t="str">
        <x:f>IF(A57&lt;=20,"前期高频测试",IF(A57&lt;=45,"前中期穿插","中后期逐步增加"))</x:f>
        <x:v>中后期逐步增加</x:v>
      </x:c>
    </x:row>
    <x:row r="58" ht="46" customHeight="1">
      <x:c r="A58" s="32" t="n">
        <x:v>54</x:v>
      </x:c>
      <x:c r="B58" s="32" t="str">
        <x:f>IF(A58&lt;=20,"A｜前期核心",IF(A58&lt;=45,"B｜中段建设","C｜体系深化"))</x:f>
        <x:v>C｜体系深化</x:v>
      </x:c>
      <x:c r="C58" s="32" t="str">
        <x:v>循环</x:v>
      </x:c>
      <x:c r="D58" s="30" t="str">
        <x:v>为什么人识别出自己的模式以后仍然可能继续重复？</x:v>
      </x:c>
      <x:c r="E58" s="30" t="str">
        <x:v>“我已经知道自己为什么总这样了”，为什么还是不一定能改变？</x:v>
      </x:c>
      <x:c r="F58" s="32" t="n">
        <x:v>5</x:v>
      </x:c>
      <x:c r="G58" s="32" t="n">
        <x:v>5</x:v>
      </x:c>
      <x:c r="H58" s="32" t="n">
        <x:v>5</x:v>
      </x:c>
      <x:c r="I58" s="32" t="n">
        <x:v>5</x:v>
      </x:c>
      <x:c r="J58" s="32" t="n">
        <x:v>5</x:v>
      </x:c>
      <x:c r="K58" s="32" t="n">
        <x:f>F58*6+G58*5+H58*4+I58*3+J58*2</x:f>
        <x:v>100</x:v>
      </x:c>
      <x:c r="L58" s="32" t="str">
        <x:v>体系深化</x:v>
      </x:c>
      <x:c r="M58" s="32" t="str">
        <x:f>IF(A58&lt;=20,"前期高频测试",IF(A58&lt;=45,"前中期穿插","中后期逐步增加"))</x:f>
        <x:v>中后期逐步增加</x:v>
      </x:c>
    </x:row>
    <x:row r="59" ht="46" customHeight="1">
      <x:c r="A59" s="32" t="n">
        <x:v>55</x:v>
      </x:c>
      <x:c r="B59" s="32" t="str">
        <x:f>IF(A59&lt;=20,"A｜前期核心",IF(A59&lt;=45,"B｜中段建设","C｜体系深化"))</x:f>
        <x:v>C｜体系深化</x:v>
      </x:c>
      <x:c r="C59" s="32" t="str">
        <x:v>循环</x:v>
      </x:c>
      <x:c r="D59" s="30" t="str">
        <x:v>为什么改变关系模式不能只依靠选择一个完全不同的人？</x:v>
      </x:c>
      <x:c r="E59" s="30" t="str">
        <x:v>真正走出一种关系模式，可能不是终于遇见了不同的人，而是自己不再用原来的方式进入关系</x:v>
      </x:c>
      <x:c r="F59" s="32" t="n">
        <x:v>4</x:v>
      </x:c>
      <x:c r="G59" s="32" t="n">
        <x:v>5</x:v>
      </x:c>
      <x:c r="H59" s="32" t="n">
        <x:v>5</x:v>
      </x:c>
      <x:c r="I59" s="32" t="n">
        <x:v>5</x:v>
      </x:c>
      <x:c r="J59" s="32" t="n">
        <x:v>5</x:v>
      </x:c>
      <x:c r="K59" s="32" t="n">
        <x:f>F59*6+G59*5+H59*4+I59*3+J59*2</x:f>
        <x:v>94</x:v>
      </x:c>
      <x:c r="L59" s="32" t="str">
        <x:v>体系深化</x:v>
      </x:c>
      <x:c r="M59" s="32" t="str">
        <x:f>IF(A59&lt;=20,"前期高频测试",IF(A59&lt;=45,"前中期穿插","中后期逐步增加"))</x:f>
        <x:v>中后期逐步增加</x:v>
      </x:c>
    </x:row>
    <x:row r="60" ht="46" customHeight="1">
      <x:c r="A60" s="32" t="n">
        <x:v>56</x:v>
      </x:c>
      <x:c r="B60" s="32" t="str">
        <x:f>IF(A60&lt;=20,"A｜前期核心",IF(A60&lt;=45,"B｜中段建设","C｜体系深化"))</x:f>
        <x:v>C｜体系深化</x:v>
      </x:c>
      <x:c r="C60" s="32" t="str">
        <x:v>互动</x:v>
      </x:c>
      <x:c r="D60" s="30" t="str">
        <x:v>为什么两个人都在保护自己，却可能共同降低关系中的安全感？</x:v>
      </x:c>
      <x:c r="E60" s="30" t="str">
        <x:v>很多关系变得不安全，并不是因为没人保护自己，而是两个人都只剩下保护自己</x:v>
      </x:c>
      <x:c r="F60" s="32" t="n">
        <x:v>5</x:v>
      </x:c>
      <x:c r="G60" s="32" t="n">
        <x:v>5</x:v>
      </x:c>
      <x:c r="H60" s="32" t="n">
        <x:v>5</x:v>
      </x:c>
      <x:c r="I60" s="32" t="n">
        <x:v>5</x:v>
      </x:c>
      <x:c r="J60" s="32" t="n">
        <x:v>5</x:v>
      </x:c>
      <x:c r="K60" s="32" t="n">
        <x:f>F60*6+G60*5+H60*4+I60*3+J60*2</x:f>
        <x:v>100</x:v>
      </x:c>
      <x:c r="L60" s="32" t="str">
        <x:v>体系深化</x:v>
      </x:c>
      <x:c r="M60" s="32" t="str">
        <x:f>IF(A60&lt;=20,"前期高频测试",IF(A60&lt;=45,"前中期穿插","中后期逐步增加"))</x:f>
        <x:v>中后期逐步增加</x:v>
      </x:c>
    </x:row>
    <x:row r="61" ht="46" customHeight="1">
      <x:c r="A61" s="32" t="n">
        <x:v>57</x:v>
      </x:c>
      <x:c r="B61" s="32" t="str">
        <x:f>IF(A61&lt;=20,"A｜前期核心",IF(A61&lt;=45,"B｜中段建设","C｜体系深化"))</x:f>
        <x:v>C｜体系深化</x:v>
      </x:c>
      <x:c r="C61" s="32" t="str">
        <x:v>结构</x:v>
      </x:c>
      <x:c r="D61" s="30" t="str">
        <x:v>为什么关系中最难改变的是双方已经不再察觉的规则？</x:v>
      </x:c>
      <x:c r="E61" s="30" t="str">
        <x:v>真正固定一段关系的，往往不是承诺，而是那些双方都不再觉得需要解释的东西</x:v>
      </x:c>
      <x:c r="F61" s="32" t="n">
        <x:v>4</x:v>
      </x:c>
      <x:c r="G61" s="32" t="n">
        <x:v>5</x:v>
      </x:c>
      <x:c r="H61" s="32" t="n">
        <x:v>5</x:v>
      </x:c>
      <x:c r="I61" s="32" t="n">
        <x:v>5</x:v>
      </x:c>
      <x:c r="J61" s="32" t="n">
        <x:v>5</x:v>
      </x:c>
      <x:c r="K61" s="32" t="n">
        <x:f>F61*6+G61*5+H61*4+I61*3+J61*2</x:f>
        <x:v>94</x:v>
      </x:c>
      <x:c r="L61" s="32" t="str">
        <x:v>体系深化</x:v>
      </x:c>
      <x:c r="M61" s="32" t="str">
        <x:f>IF(A61&lt;=20,"前期高频测试",IF(A61&lt;=45,"前中期穿插","中后期逐步增加"))</x:f>
        <x:v>中后期逐步增加</x:v>
      </x:c>
    </x:row>
    <x:row r="62" ht="46" customHeight="1">
      <x:c r="A62" s="32" t="n">
        <x:v>58</x:v>
      </x:c>
      <x:c r="B62" s="32" t="str">
        <x:f>IF(A62&lt;=20,"A｜前期核心",IF(A62&lt;=45,"B｜中段建设","C｜体系深化"))</x:f>
        <x:v>C｜体系深化</x:v>
      </x:c>
      <x:c r="C62" s="32" t="str">
        <x:v>选择</x:v>
      </x:c>
      <x:c r="D62" s="30" t="str">
        <x:v>为什么强烈情绪会改变我们对长期关系的评价？</x:v>
      </x:c>
      <x:c r="E62" s="30" t="str">
        <x:v>人在最想离开的时候做出的决定，和最舍不得的时候一样，都可能只看见了一部分现实</x:v>
      </x:c>
      <x:c r="F62" s="32" t="n">
        <x:v>4</x:v>
      </x:c>
      <x:c r="G62" s="32" t="n">
        <x:v>5</x:v>
      </x:c>
      <x:c r="H62" s="32" t="n">
        <x:v>5</x:v>
      </x:c>
      <x:c r="I62" s="32" t="n">
        <x:v>5</x:v>
      </x:c>
      <x:c r="J62" s="32" t="n">
        <x:v>5</x:v>
      </x:c>
      <x:c r="K62" s="32" t="n">
        <x:f>F62*6+G62*5+H62*4+I62*3+J62*2</x:f>
        <x:v>94</x:v>
      </x:c>
      <x:c r="L62" s="32" t="str">
        <x:v>体系深化</x:v>
      </x:c>
      <x:c r="M62" s="32" t="str">
        <x:f>IF(A62&lt;=20,"前期高频测试",IF(A62&lt;=45,"前中期穿插","中后期逐步增加"))</x:f>
        <x:v>中后期逐步增加</x:v>
      </x:c>
    </x:row>
    <x:row r="63" ht="46" customHeight="1">
      <x:c r="A63" s="32" t="n">
        <x:v>59</x:v>
      </x:c>
      <x:c r="B63" s="32" t="str">
        <x:f>IF(A63&lt;=20,"A｜前期核心",IF(A63&lt;=45,"B｜中段建设","C｜体系深化"))</x:f>
        <x:v>C｜体系深化</x:v>
      </x:c>
      <x:c r="C63" s="32" t="str">
        <x:v>选择</x:v>
      </x:c>
      <x:c r="D63" s="30" t="str">
        <x:v>为什么小范围行动有时比继续分析更有决策价值？</x:v>
      </x:c>
      <x:c r="E63" s="30" t="str">
        <x:v>关系里有些答案不是想出来的，而是只有关系发生变化以后才会出现</x:v>
      </x:c>
      <x:c r="F63" s="32" t="n">
        <x:v>4</x:v>
      </x:c>
      <x:c r="G63" s="32" t="n">
        <x:v>5</x:v>
      </x:c>
      <x:c r="H63" s="32" t="n">
        <x:v>5</x:v>
      </x:c>
      <x:c r="I63" s="32" t="n">
        <x:v>5</x:v>
      </x:c>
      <x:c r="J63" s="32" t="n">
        <x:v>5</x:v>
      </x:c>
      <x:c r="K63" s="32" t="n">
        <x:f>F63*6+G63*5+H63*4+I63*3+J63*2</x:f>
        <x:v>94</x:v>
      </x:c>
      <x:c r="L63" s="32" t="str">
        <x:v>体系深化</x:v>
      </x:c>
      <x:c r="M63" s="32" t="str">
        <x:f>IF(A63&lt;=20,"前期高频测试",IF(A63&lt;=45,"前中期穿插","中后期逐步增加"))</x:f>
        <x:v>中后期逐步增加</x:v>
      </x:c>
    </x:row>
    <x:row r="64" ht="46" customHeight="1">
      <x:c r="A64" s="32" t="n">
        <x:v>60</x:v>
      </x:c>
      <x:c r="B64" s="32" t="str">
        <x:f>IF(A64&lt;=20,"A｜前期核心",IF(A64&lt;=45,"B｜中段建设","C｜体系深化"))</x:f>
        <x:v>C｜体系深化</x:v>
      </x:c>
      <x:c r="C64" s="32" t="str">
        <x:v>循环</x:v>
      </x:c>
      <x:c r="D64" s="30" t="str">
        <x:v>为什么分开以后记忆会重新组织一段关系？</x:v>
      </x:c>
      <x:c r="E64" s="30" t="str">
        <x:v>关系结束以后，我们怀念的是过去，还是后来重新写出来的过去？</x:v>
      </x:c>
      <x:c r="F64" s="32" t="n">
        <x:v>5</x:v>
      </x:c>
      <x:c r="G64" s="32" t="n">
        <x:v>5</x:v>
      </x:c>
      <x:c r="H64" s="32" t="n">
        <x:v>5</x:v>
      </x:c>
      <x:c r="I64" s="32" t="n">
        <x:v>5</x:v>
      </x:c>
      <x:c r="J64" s="32" t="n">
        <x:v>4</x:v>
      </x:c>
      <x:c r="K64" s="32" t="n">
        <x:f>F64*6+G64*5+H64*4+I64*3+J64*2</x:f>
        <x:v>98</x:v>
      </x:c>
      <x:c r="L64" s="32" t="str">
        <x:v>体系深化</x:v>
      </x:c>
      <x:c r="M64" s="32" t="str">
        <x:f>IF(A64&lt;=20,"前期高频测试",IF(A64&lt;=45,"前中期穿插","中后期逐步增加"))</x:f>
        <x:v>中后期逐步增加</x:v>
      </x:c>
    </x:row>
    <x:row r="65" ht="46" customHeight="1">
      <x:c r="A65" s="32" t="n">
        <x:v>61</x:v>
      </x:c>
      <x:c r="B65" s="32" t="str">
        <x:f>IF(A65&lt;=20,"A｜前期核心",IF(A65&lt;=45,"B｜中段建设","C｜体系深化"))</x:f>
        <x:v>C｜体系深化</x:v>
      </x:c>
      <x:c r="C65" s="32" t="str">
        <x:v>循环</x:v>
      </x:c>
      <x:c r="D65" s="30" t="str">
        <x:v>为什么人会在不同关系里重复承担类似角色？</x:v>
      </x:c>
      <x:c r="E65" s="30" t="str">
        <x:v>换了很多人以后，为什么自己在关系里的位置却一直没怎么变？</x:v>
      </x:c>
      <x:c r="F65" s="32" t="n">
        <x:v>5</x:v>
      </x:c>
      <x:c r="G65" s="32" t="n">
        <x:v>5</x:v>
      </x:c>
      <x:c r="H65" s="32" t="n">
        <x:v>5</x:v>
      </x:c>
      <x:c r="I65" s="32" t="n">
        <x:v>5</x:v>
      </x:c>
      <x:c r="J65" s="32" t="n">
        <x:v>5</x:v>
      </x:c>
      <x:c r="K65" s="32" t="n">
        <x:f>F65*6+G65*5+H65*4+I65*3+J65*2</x:f>
        <x:v>100</x:v>
      </x:c>
      <x:c r="L65" s="32" t="str">
        <x:v>体系深化</x:v>
      </x:c>
      <x:c r="M65" s="32" t="str">
        <x:f>IF(A65&lt;=20,"前期高频测试",IF(A65&lt;=45,"前中期穿插","中后期逐步增加"))</x:f>
        <x:v>中后期逐步增加</x:v>
      </x:c>
    </x:row>
    <x:row r="66" ht="46" customHeight="1">
      <x:c r="A66" s="32" t="n">
        <x:v>62</x:v>
      </x:c>
      <x:c r="B66" s="32" t="str">
        <x:f>IF(A66&lt;=20,"A｜前期核心",IF(A66&lt;=45,"B｜中段建设","C｜体系深化"))</x:f>
        <x:v>C｜体系深化</x:v>
      </x:c>
      <x:c r="C66" s="32" t="str">
        <x:v>个体</x:v>
      </x:c>
      <x:c r="D66" s="30" t="str">
        <x:v>为什么越依赖关系证明自我价值，关系中的行为越容易变形？</x:v>
      </x:c>
      <x:c r="E66" s="30" t="str">
        <x:v>当一段关系开始承担“证明我值得被爱”的任务，它就已经不只是关系了</x:v>
      </x:c>
      <x:c r="F66" s="32" t="n">
        <x:v>4</x:v>
      </x:c>
      <x:c r="G66" s="32" t="n">
        <x:v>4</x:v>
      </x:c>
      <x:c r="H66" s="32" t="n">
        <x:v>5</x:v>
      </x:c>
      <x:c r="I66" s="32" t="n">
        <x:v>4</x:v>
      </x:c>
      <x:c r="J66" s="32" t="n">
        <x:v>4</x:v>
      </x:c>
      <x:c r="K66" s="32" t="n">
        <x:f>F66*6+G66*5+H66*4+I66*3+J66*2</x:f>
        <x:v>84</x:v>
      </x:c>
      <x:c r="L66" s="32" t="str">
        <x:v>体系深化</x:v>
      </x:c>
      <x:c r="M66" s="32" t="str">
        <x:f>IF(A66&lt;=20,"前期高频测试",IF(A66&lt;=45,"前中期穿插","中后期逐步增加"))</x:f>
        <x:v>中后期逐步增加</x:v>
      </x:c>
    </x:row>
    <x:row r="67" ht="46" customHeight="1">
      <x:c r="A67" s="32" t="n">
        <x:v>63</x:v>
      </x:c>
      <x:c r="B67" s="32" t="str">
        <x:f>IF(A67&lt;=20,"A｜前期核心",IF(A67&lt;=45,"B｜中段建设","C｜体系深化"))</x:f>
        <x:v>C｜体系深化</x:v>
      </x:c>
      <x:c r="C67" s="32" t="str">
        <x:v>个体</x:v>
      </x:c>
      <x:c r="D67" s="30" t="str">
        <x:v>为什么同一种关系问题，有人可以忍很多次，有人一次就会退出？</x:v>
      </x:c>
      <x:c r="E67" s="30" t="str">
        <x:v>一个人的底线，很多时候不是写出来的，而是他的价值排序暴露出来的</x:v>
      </x:c>
      <x:c r="F67" s="32" t="n">
        <x:v>4</x:v>
      </x:c>
      <x:c r="G67" s="32" t="n">
        <x:v>4</x:v>
      </x:c>
      <x:c r="H67" s="32" t="n">
        <x:v>5</x:v>
      </x:c>
      <x:c r="I67" s="32" t="n">
        <x:v>4</x:v>
      </x:c>
      <x:c r="J67" s="32" t="n">
        <x:v>5</x:v>
      </x:c>
      <x:c r="K67" s="32" t="n">
        <x:f>F67*6+G67*5+H67*4+I67*3+J67*2</x:f>
        <x:v>86</x:v>
      </x:c>
      <x:c r="L67" s="32" t="str">
        <x:v>体系深化</x:v>
      </x:c>
      <x:c r="M67" s="32" t="str">
        <x:f>IF(A67&lt;=20,"前期高频测试",IF(A67&lt;=45,"前中期穿插","中后期逐步增加"))</x:f>
        <x:v>中后期逐步增加</x:v>
      </x:c>
    </x:row>
    <x:row r="68" ht="46" customHeight="1">
      <x:c r="A68" s="32" t="n">
        <x:v>64</x:v>
      </x:c>
      <x:c r="B68" s="32" t="str">
        <x:f>IF(A68&lt;=20,"A｜前期核心",IF(A68&lt;=45,"B｜中段建设","C｜体系深化"))</x:f>
        <x:v>C｜体系深化</x:v>
      </x:c>
      <x:c r="C68" s="32" t="str">
        <x:v>结构</x:v>
      </x:c>
      <x:c r="D68" s="30" t="str">
        <x:v>临时的责任如何逐渐变成默认责任？</x:v>
      </x:c>
      <x:c r="E68" s="30" t="str">
        <x:v>一段关系里的责任，很多时候不是分配出来的，而是慢慢没人再问为什么</x:v>
      </x:c>
      <x:c r="F68" s="32" t="n">
        <x:v>4</x:v>
      </x:c>
      <x:c r="G68" s="32" t="n">
        <x:v>5</x:v>
      </x:c>
      <x:c r="H68" s="32" t="n">
        <x:v>5</x:v>
      </x:c>
      <x:c r="I68" s="32" t="n">
        <x:v>5</x:v>
      </x:c>
      <x:c r="J68" s="32" t="n">
        <x:v>5</x:v>
      </x:c>
      <x:c r="K68" s="32" t="n">
        <x:f>F68*6+G68*5+H68*4+I68*3+J68*2</x:f>
        <x:v>94</x:v>
      </x:c>
      <x:c r="L68" s="32" t="str">
        <x:v>体系深化</x:v>
      </x:c>
      <x:c r="M68" s="32" t="str">
        <x:f>IF(A68&lt;=20,"前期高频测试",IF(A68&lt;=45,"前中期穿插","中后期逐步增加"))</x:f>
        <x:v>中后期逐步增加</x:v>
      </x:c>
    </x:row>
    <x:row r="69" ht="46" customHeight="1">
      <x:c r="A69" s="32" t="n">
        <x:v>65</x:v>
      </x:c>
      <x:c r="B69" s="32" t="str">
        <x:f>IF(A69&lt;=20,"A｜前期核心",IF(A69&lt;=45,"B｜中段建设","C｜体系深化"))</x:f>
        <x:v>C｜体系深化</x:v>
      </x:c>
      <x:c r="C69" s="32" t="str">
        <x:v>结构</x:v>
      </x:c>
      <x:c r="D69" s="30" t="str">
        <x:v>为什么强势和弱势可能是关系制造出来的位置？</x:v>
      </x:c>
      <x:c r="E69" s="30" t="str">
        <x:v>关系里的强者和弱者，可能不是两种人，而是两个被反复固定的位置</x:v>
      </x:c>
      <x:c r="F69" s="32" t="n">
        <x:v>4</x:v>
      </x:c>
      <x:c r="G69" s="32" t="n">
        <x:v>5</x:v>
      </x:c>
      <x:c r="H69" s="32" t="n">
        <x:v>5</x:v>
      </x:c>
      <x:c r="I69" s="32" t="n">
        <x:v>5</x:v>
      </x:c>
      <x:c r="J69" s="32" t="n">
        <x:v>5</x:v>
      </x:c>
      <x:c r="K69" s="32" t="n">
        <x:f>F69*6+G69*5+H69*4+I69*3+J69*2</x:f>
        <x:v>94</x:v>
      </x:c>
      <x:c r="L69" s="32" t="str">
        <x:v>体系深化</x:v>
      </x:c>
      <x:c r="M69" s="32" t="str">
        <x:f>IF(A69&lt;=20,"前期高频测试",IF(A69&lt;=45,"前中期穿插","中后期逐步增加"))</x:f>
        <x:v>中后期逐步增加</x:v>
      </x:c>
    </x:row>
    <x:row r="70" ht="46" customHeight="1">
      <x:c r="A70" s="32" t="n">
        <x:v>66</x:v>
      </x:c>
      <x:c r="B70" s="32" t="str">
        <x:f>IF(A70&lt;=20,"A｜前期核心",IF(A70&lt;=45,"B｜中段建设","C｜体系深化"))</x:f>
        <x:v>C｜体系深化</x:v>
      </x:c>
      <x:c r="C70" s="32" t="str">
        <x:v>互动</x:v>
      </x:c>
      <x:c r="D70" s="30" t="str">
        <x:v>为什么一次退让会改变以后互动的起点？</x:v>
      </x:c>
      <x:c r="E70" s="30" t="str">
        <x:v>关系里的很多“理所当然”，最开始可能只是一方偶尔让了一次</x:v>
      </x:c>
      <x:c r="F70" s="32" t="n">
        <x:v>5</x:v>
      </x:c>
      <x:c r="G70" s="32" t="n">
        <x:v>5</x:v>
      </x:c>
      <x:c r="H70" s="32" t="n">
        <x:v>5</x:v>
      </x:c>
      <x:c r="I70" s="32" t="n">
        <x:v>5</x:v>
      </x:c>
      <x:c r="J70" s="32" t="n">
        <x:v>5</x:v>
      </x:c>
      <x:c r="K70" s="32" t="n">
        <x:f>F70*6+G70*5+H70*4+I70*3+J70*2</x:f>
        <x:v>100</x:v>
      </x:c>
      <x:c r="L70" s="32" t="str">
        <x:v>体系深化</x:v>
      </x:c>
      <x:c r="M70" s="32" t="str">
        <x:f>IF(A70&lt;=20,"前期高频测试",IF(A70&lt;=45,"前中期穿插","中后期逐步增加"))</x:f>
        <x:v>中后期逐步增加</x:v>
      </x:c>
    </x:row>
    <x:row r="71" ht="46" customHeight="1">
      <x:c r="A71" s="32" t="n">
        <x:v>67</x:v>
      </x:c>
      <x:c r="B71" s="32" t="str">
        <x:f>IF(A71&lt;=20,"A｜前期核心",IF(A71&lt;=45,"B｜中段建设","C｜体系深化"))</x:f>
        <x:v>C｜体系深化</x:v>
      </x:c>
      <x:c r="C71" s="32" t="str">
        <x:v>吸引</x:v>
      </x:c>
      <x:c r="D71" s="30" t="str">
        <x:v>为什么人会被一个人的“可能性”吸引，而不只是被现实中的他吸引？</x:v>
      </x:c>
      <x:c r="E71" s="30" t="str">
        <x:v>我们会不会爱上一个人还没成为的样子？</x:v>
      </x:c>
      <x:c r="F71" s="32" t="n">
        <x:v>5</x:v>
      </x:c>
      <x:c r="G71" s="32" t="n">
        <x:v>5</x:v>
      </x:c>
      <x:c r="H71" s="32" t="n">
        <x:v>5</x:v>
      </x:c>
      <x:c r="I71" s="32" t="n">
        <x:v>4</x:v>
      </x:c>
      <x:c r="J71" s="32" t="n">
        <x:v>3</x:v>
      </x:c>
      <x:c r="K71" s="32" t="n">
        <x:f>F71*6+G71*5+H71*4+I71*3+J71*2</x:f>
        <x:v>93</x:v>
      </x:c>
      <x:c r="L71" s="32" t="str">
        <x:v>体系深化</x:v>
      </x:c>
      <x:c r="M71" s="32" t="str">
        <x:f>IF(A71&lt;=20,"前期高频测试",IF(A71&lt;=45,"前中期穿插","中后期逐步增加"))</x:f>
        <x:v>中后期逐步增加</x:v>
      </x:c>
    </x:row>
    <x:row r="72" ht="46" customHeight="1">
      <x:c r="A72" s="32" t="n">
        <x:v>68</x:v>
      </x:c>
      <x:c r="B72" s="32" t="str">
        <x:f>IF(A72&lt;=20,"A｜前期核心",IF(A72&lt;=45,"B｜中段建设","C｜体系深化"))</x:f>
        <x:v>C｜体系深化</x:v>
      </x:c>
      <x:c r="C72" s="32" t="str">
        <x:v>个体</x:v>
      </x:c>
      <x:c r="D72" s="30" t="str">
        <x:v>为什么同样一件关系事件，对不同人的意义可以完全不同？</x:v>
      </x:c>
      <x:c r="E72" s="30" t="str">
        <x:v>真正影响我们的，往往不只是发生了什么，还有我们把它理解成了什么</x:v>
      </x:c>
      <x:c r="F72" s="32" t="n">
        <x:v>4</x:v>
      </x:c>
      <x:c r="G72" s="32" t="n">
        <x:v>4</x:v>
      </x:c>
      <x:c r="H72" s="32" t="n">
        <x:v>4</x:v>
      </x:c>
      <x:c r="I72" s="32" t="n">
        <x:v>4</x:v>
      </x:c>
      <x:c r="J72" s="32" t="n">
        <x:v>3</x:v>
      </x:c>
      <x:c r="K72" s="32" t="n">
        <x:f>F72*6+G72*5+H72*4+I72*3+J72*2</x:f>
        <x:v>78</x:v>
      </x:c>
      <x:c r="L72" s="32" t="str">
        <x:v>体系深化</x:v>
      </x:c>
      <x:c r="M72" s="32" t="str">
        <x:f>IF(A72&lt;=20,"前期高频测试",IF(A72&lt;=45,"前中期穿插","中后期逐步增加"))</x:f>
        <x:v>中后期逐步增加</x:v>
      </x:c>
    </x:row>
    <x:row r="73" ht="46" customHeight="1">
      <x:c r="A73" s="32" t="n">
        <x:v>69</x:v>
      </x:c>
      <x:c r="B73" s="32" t="str">
        <x:f>IF(A73&lt;=20,"A｜前期核心",IF(A73&lt;=45,"B｜中段建设","C｜体系深化"))</x:f>
        <x:v>C｜体系深化</x:v>
      </x:c>
      <x:c r="C73" s="32" t="str">
        <x:v>认知</x:v>
      </x:c>
      <x:c r="D73" s="30" t="str">
        <x:v>为什么单次行为很容易被错误地升级成人格判断？</x:v>
      </x:c>
      <x:c r="E73" s="30" t="str">
        <x:v>我们为什么总喜欢用一件事，迅速决定一个人“就是这样的人”？</x:v>
      </x:c>
      <x:c r="F73" s="32" t="n">
        <x:v>4</x:v>
      </x:c>
      <x:c r="G73" s="32" t="n">
        <x:v>4</x:v>
      </x:c>
      <x:c r="H73" s="32" t="n">
        <x:v>5</x:v>
      </x:c>
      <x:c r="I73" s="32" t="n">
        <x:v>4</x:v>
      </x:c>
      <x:c r="J73" s="32" t="n">
        <x:v>4</x:v>
      </x:c>
      <x:c r="K73" s="32" t="n">
        <x:f>F73*6+G73*5+H73*4+I73*3+J73*2</x:f>
        <x:v>84</x:v>
      </x:c>
      <x:c r="L73" s="32" t="str">
        <x:v>体系深化</x:v>
      </x:c>
      <x:c r="M73" s="32" t="str">
        <x:f>IF(A73&lt;=20,"前期高频测试",IF(A73&lt;=45,"前中期穿插","中后期逐步增加"))</x:f>
        <x:v>中后期逐步增加</x:v>
      </x:c>
    </x:row>
    <x:row r="74" ht="46" customHeight="1">
      <x:c r="A74" s="32" t="n">
        <x:v>70</x:v>
      </x:c>
      <x:c r="B74" s="32" t="str">
        <x:f>IF(A74&lt;=20,"A｜前期核心",IF(A74&lt;=45,"B｜中段建设","C｜体系深化"))</x:f>
        <x:v>C｜体系深化</x:v>
      </x:c>
      <x:c r="C74" s="32" t="str">
        <x:v>选择</x:v>
      </x:c>
      <x:c r="D74" s="30" t="str">
        <x:v>为什么真正困难的选择一定包含损失？</x:v>
      </x:c>
      <x:c r="E74" s="30" t="str">
        <x:v>成熟的选择，可能不是找到最好的答案，而是接受没有任何答案能让你什么都不失去</x:v>
      </x:c>
      <x:c r="F74" s="32" t="n">
        <x:v>4</x:v>
      </x:c>
      <x:c r="G74" s="32" t="n">
        <x:v>5</x:v>
      </x:c>
      <x:c r="H74" s="32" t="n">
        <x:v>5</x:v>
      </x:c>
      <x:c r="I74" s="32" t="n">
        <x:v>5</x:v>
      </x:c>
      <x:c r="J74" s="32" t="n">
        <x:v>4</x:v>
      </x:c>
      <x:c r="K74" s="32" t="n">
        <x:f>F74*6+G74*5+H74*4+I74*3+J74*2</x:f>
        <x:v>92</x:v>
      </x:c>
      <x:c r="L74" s="32" t="str">
        <x:v>体系深化</x:v>
      </x:c>
      <x:c r="M74" s="32" t="str">
        <x:f>IF(A74&lt;=20,"前期高频测试",IF(A74&lt;=45,"前中期穿插","中后期逐步增加"))</x:f>
        <x:v>中后期逐步增加</x:v>
      </x:c>
    </x:row>
  </x:sheetData>
  <x:mergeCells>
    <x:mergeCell ref="A1:M1"/>
    <x:mergeCell ref="A2:M2"/>
  </x:mergeCells>
  <x:conditionalFormatting sqref="K5:K7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5:A74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{3EE54657-FAC8-EBBC-D793-2B3BF0444EA3}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746b449c95346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EE54657-FAC8-EBBC-D793-2B3BF0444EA3}">
            <x14:dataBar gradient="1">
              <x14:cfvo type="min"/>
              <x14:cfvo type="max"/>
              <x14:fillColor rgb="FF156082"/>
            </x14:dataBar>
          </x14:cfRule>
          <xm:sqref>A5:A74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5" t="str">
        <x:v>长期账号运营总览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评分维度</x:v>
      </x:c>
      <x:c r="B3" s="21" t="str">
        <x:v>权重</x:v>
      </x:c>
      <x:c r="D3" s="21" t="str">
        <x:v>系列</x:v>
      </x:c>
      <x:c r="E3" s="21" t="str">
        <x:v>选题数</x:v>
      </x:c>
      <x:c r="F3" s="21" t="str">
        <x:v>平均综合分</x:v>
      </x:c>
      <x:c r="G3" s="21" t="str">
        <x:v>A类数量</x:v>
      </x:c>
      <x:c r="H3" s="21" t="str">
        <x:v>B类数量</x:v>
      </x:c>
      <x:c r="I3" s="21" t="str">
        <x:v>C类数量</x:v>
      </x:c>
    </x:row>
    <x:row r="4">
      <x:c r="A4" s="36" t="str">
        <x:v>流量入口</x:v>
      </x:c>
      <x:c r="B4" s="36" t="str">
        <x:v>30%</x:v>
      </x:c>
      <x:c r="D4" s="40" t="str">
        <x:v>个体</x:v>
      </x:c>
      <x:c r="E4" s="40" t="n">
        <x:f>COUNTIF('优先级总表'!$C$5:$C$74,D4)</x:f>
        <x:v>10</x:v>
      </x:c>
      <x:c r="F4" s="40" t="n">
        <x:f>AVERAGEIF('优先级总表'!$C$5:$C$74,D4,'优先级总表'!$K$5:$K$74)</x:f>
        <x:v>88.3</x:v>
      </x:c>
      <x:c r="G4" s="40" t="n">
        <x:f>COUNTIFS('优先级总表'!$C$5:$C$74,D4,'优先级总表'!$B$5:$B$74,"A*")</x:f>
        <x:v>0</x:v>
      </x:c>
      <x:c r="H4" s="40" t="n">
        <x:f>COUNTIFS('优先级总表'!$C$5:$C$74,D4,'优先级总表'!$B$5:$B$74,"B*")</x:f>
        <x:v>0</x:v>
      </x:c>
      <x:c r="I4" s="40" t="n">
        <x:f>COUNTIFS('优先级总表'!$C$5:$C$74,D4,'优先级总表'!$B$5:$B$74,"C*")</x:f>
        <x:v>0</x:v>
      </x:c>
    </x:row>
    <x:row r="5">
      <x:c r="A5" s="36" t="str">
        <x:v>涨粉潜力</x:v>
      </x:c>
      <x:c r="B5" s="36" t="str">
        <x:v>25%</x:v>
      </x:c>
      <x:c r="D5" s="40" t="str">
        <x:v>吸引</x:v>
      </x:c>
      <x:c r="E5" s="40" t="n">
        <x:f>COUNTIF('优先级总表'!$C$5:$C$74,D5)</x:f>
        <x:v>10</x:v>
      </x:c>
      <x:c r="F5" s="40" t="n">
        <x:f>AVERAGEIF('优先级总表'!$C$5:$C$74,D5,'优先级总表'!$K$5:$K$74)</x:f>
        <x:v>92.9</x:v>
      </x:c>
      <x:c r="G5" s="40" t="n">
        <x:f>COUNTIFS('优先级总表'!$C$5:$C$74,D5,'优先级总表'!$B$5:$B$74,"A*")</x:f>
        <x:v>0</x:v>
      </x:c>
      <x:c r="H5" s="40" t="n">
        <x:f>COUNTIFS('优先级总表'!$C$5:$C$74,D5,'优先级总表'!$B$5:$B$74,"B*")</x:f>
        <x:v>0</x:v>
      </x:c>
      <x:c r="I5" s="40" t="n">
        <x:f>COUNTIFS('优先级总表'!$C$5:$C$74,D5,'优先级总表'!$B$5:$B$74,"C*")</x:f>
        <x:v>0</x:v>
      </x:c>
    </x:row>
    <x:row r="6">
      <x:c r="A6" s="36" t="str">
        <x:v>账号认知建立</x:v>
      </x:c>
      <x:c r="B6" s="36" t="str">
        <x:v>20%</x:v>
      </x:c>
      <x:c r="D6" s="40" t="str">
        <x:v>认知</x:v>
      </x:c>
      <x:c r="E6" s="40" t="n">
        <x:f>COUNTIF('优先级总表'!$C$5:$C$74,D6)</x:f>
        <x:v>10</x:v>
      </x:c>
      <x:c r="F6" s="40" t="n">
        <x:f>AVERAGEIF('优先级总表'!$C$5:$C$74,D6,'优先级总表'!$K$5:$K$74)</x:f>
        <x:v>96.7</x:v>
      </x:c>
      <x:c r="G6" s="40" t="n">
        <x:f>COUNTIFS('优先级总表'!$C$5:$C$74,D6,'优先级总表'!$B$5:$B$74,"A*")</x:f>
        <x:v>0</x:v>
      </x:c>
      <x:c r="H6" s="40" t="n">
        <x:f>COUNTIFS('优先级总表'!$C$5:$C$74,D6,'优先级总表'!$B$5:$B$74,"B*")</x:f>
        <x:v>0</x:v>
      </x:c>
      <x:c r="I6" s="40" t="n">
        <x:f>COUNTIFS('优先级总表'!$C$5:$C$74,D6,'优先级总表'!$B$5:$B$74,"C*")</x:f>
        <x:v>0</x:v>
      </x:c>
    </x:row>
    <x:row r="7">
      <x:c r="A7" s="36" t="str">
        <x:v>系列延展/复访</x:v>
      </x:c>
      <x:c r="B7" s="36" t="str">
        <x:v>15%</x:v>
      </x:c>
      <x:c r="D7" s="40" t="str">
        <x:v>互动</x:v>
      </x:c>
      <x:c r="E7" s="40" t="n">
        <x:f>COUNTIF('优先级总表'!$C$5:$C$74,D7)</x:f>
        <x:v>10</x:v>
      </x:c>
      <x:c r="F7" s="40" t="n">
        <x:f>AVERAGEIF('优先级总表'!$C$5:$C$74,D7,'优先级总表'!$K$5:$K$74)</x:f>
        <x:v>99.1</x:v>
      </x:c>
      <x:c r="G7" s="40" t="n">
        <x:f>COUNTIFS('优先级总表'!$C$5:$C$74,D7,'优先级总表'!$B$5:$B$74,"A*")</x:f>
        <x:v>0</x:v>
      </x:c>
      <x:c r="H7" s="40" t="n">
        <x:f>COUNTIFS('优先级总表'!$C$5:$C$74,D7,'优先级总表'!$B$5:$B$74,"B*")</x:f>
        <x:v>0</x:v>
      </x:c>
      <x:c r="I7" s="40" t="n">
        <x:f>COUNTIFS('优先级总表'!$C$5:$C$74,D7,'优先级总表'!$B$5:$B$74,"C*")</x:f>
        <x:v>0</x:v>
      </x:c>
    </x:row>
    <x:row r="8">
      <x:c r="A8" s="36" t="str">
        <x:v>商业衔接</x:v>
      </x:c>
      <x:c r="B8" s="36" t="str">
        <x:v>10%</x:v>
      </x:c>
      <x:c r="D8" s="40" t="str">
        <x:v>结构</x:v>
      </x:c>
      <x:c r="E8" s="40" t="n">
        <x:f>COUNTIF('优先级总表'!$C$5:$C$74,D8)</x:f>
        <x:v>10</x:v>
      </x:c>
      <x:c r="F8" s="40" t="n">
        <x:f>AVERAGEIF('优先级总表'!$C$5:$C$74,D8,'优先级总表'!$K$5:$K$74)</x:f>
        <x:v>97.4</x:v>
      </x:c>
      <x:c r="G8" s="40" t="n">
        <x:f>COUNTIFS('优先级总表'!$C$5:$C$74,D8,'优先级总表'!$B$5:$B$74,"A*")</x:f>
        <x:v>0</x:v>
      </x:c>
      <x:c r="H8" s="40" t="n">
        <x:f>COUNTIFS('优先级总表'!$C$5:$C$74,D8,'优先级总表'!$B$5:$B$74,"B*")</x:f>
        <x:v>0</x:v>
      </x:c>
      <x:c r="I8" s="40" t="n">
        <x:f>COUNTIFS('优先级总表'!$C$5:$C$74,D8,'优先级总表'!$B$5:$B$74,"C*")</x:f>
        <x:v>0</x:v>
      </x:c>
    </x:row>
    <x:row r="9">
      <x:c r="D9" s="40" t="str">
        <x:v>选择</x:v>
      </x:c>
      <x:c r="E9" s="40" t="n">
        <x:f>COUNTIF('优先级总表'!$C$5:$C$74,D9)</x:f>
        <x:v>10</x:v>
      </x:c>
      <x:c r="F9" s="40" t="n">
        <x:f>AVERAGEIF('优先级总表'!$C$5:$C$74,D9,'优先级总表'!$K$5:$K$74)</x:f>
        <x:v>97.8</x:v>
      </x:c>
      <x:c r="G9" s="40" t="n">
        <x:f>COUNTIFS('优先级总表'!$C$5:$C$74,D9,'优先级总表'!$B$5:$B$74,"A*")</x:f>
        <x:v>0</x:v>
      </x:c>
      <x:c r="H9" s="40" t="n">
        <x:f>COUNTIFS('优先级总表'!$C$5:$C$74,D9,'优先级总表'!$B$5:$B$74,"B*")</x:f>
        <x:v>0</x:v>
      </x:c>
      <x:c r="I9" s="40" t="n">
        <x:f>COUNTIFS('优先级总表'!$C$5:$C$74,D9,'优先级总表'!$B$5:$B$74,"C*")</x:f>
        <x:v>0</x:v>
      </x:c>
    </x:row>
    <x:row r="10">
      <x:c r="D10" s="40" t="str">
        <x:v>循环</x:v>
      </x:c>
      <x:c r="E10" s="40" t="n">
        <x:f>COUNTIF('优先级总表'!$C$5:$C$74,D10)</x:f>
        <x:v>10</x:v>
      </x:c>
      <x:c r="F10" s="40" t="n">
        <x:f>AVERAGEIF('优先级总表'!$C$5:$C$74,D10,'优先级总表'!$K$5:$K$74)</x:f>
        <x:v>99</x:v>
      </x:c>
      <x:c r="G10" s="40" t="n">
        <x:f>COUNTIFS('优先级总表'!$C$5:$C$74,D10,'优先级总表'!$B$5:$B$74,"A*")</x:f>
        <x:v>0</x:v>
      </x:c>
      <x:c r="H10" s="40" t="n">
        <x:f>COUNTIFS('优先级总表'!$C$5:$C$74,D10,'优先级总表'!$B$5:$B$74,"B*")</x:f>
        <x:v>0</x:v>
      </x:c>
      <x:c r="I10" s="40" t="n">
        <x:f>COUNTIFS('优先级总表'!$C$5:$C$74,D10,'优先级总表'!$B$5:$B$74,"C*")</x:f>
        <x:v>0</x:v>
      </x:c>
    </x:row>
    <x:row r="11">
      <x:c r="A11" s="44" t="str">
        <x:v>使用说明：优先级不是“内容质量绝对排名”，而是长期账号启动顺序。前20条优先承担流量与涨粉；21–45条用于建立稳定认知和复访；46–70条用于体系深化。实际发布时应跨系列穿插，避免连续输出同类认知结构。</x:v>
      </x:c>
      <x:c r="B11" s="44"/>
      <x:c r="C11" s="44"/>
      <x:c r="D11" s="44"/>
      <x:c r="E11" s="44"/>
      <x:c r="F11" s="44"/>
      <x:c r="G11" s="44"/>
      <x:c r="H11" s="44"/>
    </x:row>
    <x:row r="12">
      <x:c r="A12" s="44"/>
      <x:c r="B12" s="44"/>
      <x:c r="C12" s="44"/>
      <x:c r="D12" s="44"/>
      <x:c r="E12" s="44"/>
      <x:c r="F12" s="44"/>
      <x:c r="G12" s="44"/>
      <x:c r="H12" s="44"/>
    </x:row>
    <x:row r="13">
      <x:c r="A13" s="44"/>
      <x:c r="B13" s="44"/>
      <x:c r="C13" s="44"/>
      <x:c r="D13" s="44"/>
      <x:c r="E13" s="44"/>
      <x:c r="F13" s="44"/>
      <x:c r="G13" s="44"/>
      <x:c r="H13" s="44"/>
    </x:row>
    <x:row r="14">
      <x:c r="A14" s="44"/>
      <x:c r="B14" s="44"/>
      <x:c r="C14" s="44"/>
      <x:c r="D14" s="44"/>
      <x:c r="E14" s="44"/>
      <x:c r="F14" s="44"/>
      <x:c r="G14" s="44"/>
      <x:c r="H14" s="44"/>
    </x:row>
  </x:sheetData>
  <x:mergeCells>
    <x:mergeCell ref="A1:H1"/>
    <x:mergeCell ref="A11:H14"/>
  </x:mergeCells>
  <x:pageMargins left="0.7" right="0.7" top="0.75" bottom="0.75" header="0.3" footer="0.3"/>
  <x:drawing xmlns:r="http://schemas.openxmlformats.org/officeDocument/2006/relationships" r:id="R1d85467d38ed4496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8" hidden="0" customWidth="1"/>
    <x:col min="4" max="4" width="44" hidden="0" customWidth="1"/>
  </x:cols>
  <x:sheetData>
    <x:row r="1">
      <x:c r="A1" s="4" t="str">
        <x:v>七大长期内容系列</x:v>
      </x:c>
      <x:c r="B1" s="4"/>
      <x:c r="C1" s="4"/>
      <x:c r="D1" s="4"/>
    </x:row>
    <x:row r="3">
      <x:c r="A3" s="21" t="str">
        <x:v>顺序</x:v>
      </x:c>
      <x:c r="B3" s="21" t="str">
        <x:v>系列</x:v>
      </x:c>
      <x:c r="C3" s="21" t="str">
        <x:v>母问题</x:v>
      </x:c>
      <x:c r="D3" s="21" t="str">
        <x:v>在整体体系中的位置</x:v>
      </x:c>
    </x:row>
    <x:row r="4" ht="46" customHeight="1">
      <x:c r="A4" s="40" t="n">
        <x:v>1</x:v>
      </x:c>
      <x:c r="B4" s="36" t="str">
        <x:v>个体</x:v>
      </x:c>
      <x:c r="C4" s="36" t="str">
        <x:v>我们究竟带着什么进入一段关系？</x:v>
      </x:c>
      <x:c r="D4" s="36" t="str">
        <x:v>需求、经验、价值排序与自我认知构成关系的初始条件</x:v>
      </x:c>
    </x:row>
    <x:row r="5" ht="46" customHeight="1">
      <x:c r="A5" s="40" t="n">
        <x:v>2</x:v>
      </x:c>
      <x:c r="B5" s="36" t="str">
        <x:v>吸引</x:v>
      </x:c>
      <x:c r="C5" s="36" t="str">
        <x:v>为什么偏偏是这个人进入我们的注意力？</x:v>
      </x:c>
      <x:c r="D5" s="36" t="str">
        <x:v>个体条件与外界对象相遇后产生吸引与特殊价值</x:v>
      </x:c>
    </x:row>
    <x:row r="6" ht="46" customHeight="1">
      <x:c r="A6" s="40" t="n">
        <x:v>3</x:v>
      </x:c>
      <x:c r="B6" s="36" t="str">
        <x:v>认知</x:v>
      </x:c>
      <x:c r="C6" s="36" t="str">
        <x:v>我们看到的究竟是这个人，还是我们形成的这个人？</x:v>
      </x:c>
      <x:c r="D6" s="36" t="str">
        <x:v>吸引后开始解释、判断，并产生认知偏差</x:v>
      </x:c>
    </x:row>
    <x:row r="7" ht="46" customHeight="1">
      <x:c r="A7" s="40" t="n">
        <x:v>4</x:v>
      </x:c>
      <x:c r="B7" s="36" t="str">
        <x:v>互动</x:v>
      </x:c>
      <x:c r="C7" s="36" t="str">
        <x:v>两个人如何一步一步改变彼此？</x:v>
      </x:c>
      <x:c r="D7" s="36" t="str">
        <x:v>判断影响行为，行为引发反馈，形成动态互动</x:v>
      </x:c>
    </x:row>
    <x:row r="8" ht="46" customHeight="1">
      <x:c r="A8" s="40" t="n">
        <x:v>5</x:v>
      </x:c>
      <x:c r="B8" s="36" t="str">
        <x:v>结构</x:v>
      </x:c>
      <x:c r="C8" s="36" t="str">
        <x:v>互动为什么最终会变成一种固定的关系？</x:v>
      </x:c>
      <x:c r="D8" s="36" t="str">
        <x:v>重复互动沉淀成角色、责任、权力与默认规则</x:v>
      </x:c>
    </x:row>
    <x:row r="9" ht="46" customHeight="1">
      <x:c r="A9" s="40" t="n">
        <x:v>6</x:v>
      </x:c>
      <x:c r="B9" s="36" t="str">
        <x:v>选择</x:v>
      </x:c>
      <x:c r="C9" s="36" t="str">
        <x:v>当关系存在不确定性时，人怎样做决定？</x:v>
      </x:c>
      <x:c r="D9" s="36" t="str">
        <x:v>在既有结构中做继续、改变、等待或退出选择</x:v>
      </x:c>
    </x:row>
    <x:row r="10" ht="46" customHeight="1">
      <x:c r="A10" s="40" t="n">
        <x:v>7</x:v>
      </x:c>
      <x:c r="B10" s="36" t="str">
        <x:v>循环</x:v>
      </x:c>
      <x:c r="C10" s="36" t="str">
        <x:v>为什么换了一个人，却又可能走进相似的关系？</x:v>
      </x:c>
      <x:c r="D10" s="36" t="str">
        <x:v>上一段关系形成的经验再次塑造下一轮个体、吸引与判断</x:v>
      </x:c>
    </x:row>
  </x:sheetData>
  <x:mergeCells>
    <x:mergeCell ref="A1:D1"/>
  </x:mergeCells>
  <x:pageMargins left="0.7" right="0.7" top="0.75" bottom="0.75" header="0.3" footer="0.3"/>
</x:worksheet>
</file>